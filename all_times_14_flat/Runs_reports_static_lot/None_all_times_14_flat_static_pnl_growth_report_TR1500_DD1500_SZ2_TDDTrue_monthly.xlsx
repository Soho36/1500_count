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all_times_14_flat\Runs_reports_static_lot\"/>
    </mc:Choice>
  </mc:AlternateContent>
  <xr:revisionPtr revIDLastSave="0" documentId="13_ncr:1_{13B352B2-A473-46C3-9A3F-78A733B680DE}" xr6:coauthVersionLast="37" xr6:coauthVersionMax="37" xr10:uidLastSave="{00000000-0000-0000-0000-000000000000}"/>
  <bookViews>
    <workbookView xWindow="240" yWindow="15" windowWidth="16095" windowHeight="9660" xr2:uid="{00000000-000D-0000-FFFF-FFFF00000000}"/>
  </bookViews>
  <sheets>
    <sheet name="All Runs" sheetId="1" r:id="rId1"/>
    <sheet name="Summary Stats" sheetId="2" r:id="rId2"/>
    <sheet name="Histogram" sheetId="3" r:id="rId3"/>
    <sheet name="Monthly Blown Stats" sheetId="4" r:id="rId4"/>
  </sheets>
  <calcPr calcId="179021"/>
</workbook>
</file>

<file path=xl/calcChain.xml><?xml version="1.0" encoding="utf-8"?>
<calcChain xmlns="http://schemas.openxmlformats.org/spreadsheetml/2006/main">
  <c r="A87" i="1" l="1"/>
  <c r="A86" i="1"/>
  <c r="A75" i="1"/>
  <c r="A62" i="1"/>
  <c r="A49" i="1"/>
  <c r="A36" i="1"/>
  <c r="A23" i="1"/>
  <c r="A10" i="1"/>
</calcChain>
</file>

<file path=xl/sharedStrings.xml><?xml version="1.0" encoding="utf-8"?>
<sst xmlns="http://schemas.openxmlformats.org/spreadsheetml/2006/main" count="235" uniqueCount="151">
  <si>
    <t>Start_Date</t>
  </si>
  <si>
    <t>Rows_to_+Target</t>
  </si>
  <si>
    <t>Rows_to_blown</t>
  </si>
  <si>
    <t>Max_Drawdown</t>
  </si>
  <si>
    <t>Average_Contracts</t>
  </si>
  <si>
    <t>Minimum_Contracts</t>
  </si>
  <si>
    <t>Maximum_Contracts</t>
  </si>
  <si>
    <t>End_Date</t>
  </si>
  <si>
    <t>Blown</t>
  </si>
  <si>
    <t>Completed</t>
  </si>
  <si>
    <t>YearMonth</t>
  </si>
  <si>
    <t>DD_%</t>
  </si>
  <si>
    <t>Days_per_run</t>
  </si>
  <si>
    <t>Months_per_run</t>
  </si>
  <si>
    <t>Run_Cost</t>
  </si>
  <si>
    <t>Year</t>
  </si>
  <si>
    <t>Total_Cost_per_Year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</si>
  <si>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</si>
  <si>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</si>
  <si>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</si>
  <si>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</si>
  <si>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</si>
  <si>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</si>
  <si>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</si>
  <si>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</si>
  <si>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</si>
  <si>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</si>
  <si>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</si>
  <si>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</si>
  <si>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</si>
  <si>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</si>
  <si>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</si>
  <si>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</si>
  <si>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</si>
  <si>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</si>
  <si>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</si>
  <si>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</si>
  <si>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</si>
  <si>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</si>
  <si>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</si>
  <si>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</si>
  <si>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</si>
  <si>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</si>
  <si>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</si>
  <si>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</si>
  <si>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</si>
  <si>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</si>
  <si>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</si>
  <si>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</si>
  <si>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</si>
  <si>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</si>
  <si>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</si>
  <si>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</si>
  <si>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</si>
  <si>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</si>
  <si>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</si>
  <si>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</si>
  <si>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</si>
  <si>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</si>
  <si>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</si>
  <si>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</si>
  <si>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</si>
  <si>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</si>
  <si>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</si>
  <si>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</si>
  <si>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</si>
  <si>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</si>
  <si>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</si>
  <si>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</si>
  <si>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</si>
  <si>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</si>
  <si>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</si>
  <si>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</si>
  <si>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</si>
  <si>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</si>
  <si>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</si>
  <si>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</si>
  <si>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</si>
  <si>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</si>
  <si>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</si>
  <si>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</si>
  <si>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</si>
  <si>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</si>
  <si>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</si>
  <si>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</si>
  <si>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</si>
  <si>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</si>
  <si>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</si>
  <si>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</si>
  <si>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</si>
  <si>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</si>
  <si>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</si>
  <si>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</si>
  <si>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</si>
  <si>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</si>
  <si>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Total_Cost</t>
  </si>
  <si>
    <t>Total_Runs</t>
  </si>
  <si>
    <t>Avg_Run_Length</t>
  </si>
  <si>
    <t>Blown_Runs</t>
  </si>
  <si>
    <t>Successful_Runs</t>
  </si>
  <si>
    <t>Blown_%</t>
  </si>
  <si>
    <t>Total</t>
  </si>
  <si>
    <t>Metric</t>
  </si>
  <si>
    <t>Value</t>
  </si>
  <si>
    <t>Dynamic lot</t>
  </si>
  <si>
    <t>Trailing DD</t>
  </si>
  <si>
    <t>Position size multiplier</t>
  </si>
  <si>
    <t>Target</t>
  </si>
  <si>
    <t>Max Drawdown Limit</t>
  </si>
  <si>
    <t>TARGETS STATISTICS</t>
  </si>
  <si>
    <t>Min days</t>
  </si>
  <si>
    <t>Max days</t>
  </si>
  <si>
    <t>Average days</t>
  </si>
  <si>
    <t>Median days</t>
  </si>
  <si>
    <t>Std dev days</t>
  </si>
  <si>
    <t>Mode days</t>
  </si>
  <si>
    <t>Total runs</t>
  </si>
  <si>
    <t>Resolved runs</t>
  </si>
  <si>
    <t>Successful runs</t>
  </si>
  <si>
    <t>Blowups</t>
  </si>
  <si>
    <t>Successful runs (%)</t>
  </si>
  <si>
    <t>Blowups (%)</t>
  </si>
  <si>
    <t>BLOWUPS STATISTICS</t>
  </si>
  <si>
    <t>Min days to blowup</t>
  </si>
  <si>
    <t>Max days to blowup</t>
  </si>
  <si>
    <t>Average days to blowup</t>
  </si>
  <si>
    <t>Median days to blowup</t>
  </si>
  <si>
    <t>Mode days to blowup</t>
  </si>
  <si>
    <t>DRAWDOWN UTILIZATION</t>
  </si>
  <si>
    <t>Average Max DD</t>
  </si>
  <si>
    <t>Median Max DD</t>
  </si>
  <si>
    <t>Average Max DD (%)</t>
  </si>
  <si>
    <t>Median Max DD (%)</t>
  </si>
  <si>
    <t>Average Max DD (all runs)</t>
  </si>
  <si>
    <t>Average Max DD (non-blown)</t>
  </si>
  <si>
    <t>Average Max DD (blown)</t>
  </si>
  <si>
    <t>73.1%</t>
  </si>
  <si>
    <t>26.9%</t>
  </si>
  <si>
    <t>39.7%</t>
  </si>
  <si>
    <t>17.3%</t>
  </si>
  <si>
    <t>Took_days</t>
  </si>
  <si>
    <t>count</t>
  </si>
  <si>
    <t>Completed_Runs</t>
  </si>
  <si>
    <t>2019 Count</t>
  </si>
  <si>
    <t>2020 Count</t>
  </si>
  <si>
    <t>2021 Count</t>
  </si>
  <si>
    <t>2022 Count</t>
  </si>
  <si>
    <t>2023 Count</t>
  </si>
  <si>
    <t>2024 Count</t>
  </si>
  <si>
    <t>2025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</si>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</sst>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abSelected="1" topLeftCell="A34" workbookViewId="0">
      <selection activeCell="A43" sqref="A43"/>
    </sheetView>
  </sheetViews>
  <sheetFormatPr defaultRowHeight="15" outlineLevelRow="2" x14ac:dyDescent="0.25"/>
  <cols>
    <col min="1" max="1" width="20.7109375" customWidth="1"/>
    <col min="2" max="2" width="16.7109375" customWidth="1"/>
    <col min="3" max="3" width="15.140625" customWidth="1"/>
    <col min="8" max="8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outlineLevel="2" x14ac:dyDescent="0.25">
      <c r="A2" s="2">
        <v>43609</v>
      </c>
      <c r="B2">
        <v>34</v>
      </c>
      <c r="D2">
        <v>275</v>
      </c>
      <c r="E2">
        <v>2</v>
      </c>
      <c r="F2">
        <v>2</v>
      </c>
      <c r="G2">
        <v>2</v>
      </c>
      <c r="H2" s="2">
        <v>43656</v>
      </c>
      <c r="I2" t="b">
        <v>0</v>
      </c>
      <c r="J2" t="b">
        <v>1</v>
      </c>
      <c r="K2" t="s">
        <v>17</v>
      </c>
      <c r="L2">
        <v>18.333333333333329</v>
      </c>
      <c r="M2">
        <v>34</v>
      </c>
      <c r="N2">
        <v>2</v>
      </c>
      <c r="O2">
        <v>80</v>
      </c>
      <c r="P2">
        <v>2019</v>
      </c>
      <c r="Q2">
        <v>440</v>
      </c>
    </row>
    <row r="3" spans="1:17" outlineLevel="2" x14ac:dyDescent="0.25">
      <c r="A3" s="2">
        <v>43619</v>
      </c>
      <c r="B3">
        <v>22</v>
      </c>
      <c r="D3">
        <v>58</v>
      </c>
      <c r="E3">
        <v>2</v>
      </c>
      <c r="F3">
        <v>2</v>
      </c>
      <c r="G3">
        <v>2</v>
      </c>
      <c r="H3" s="2">
        <v>43648</v>
      </c>
      <c r="I3" t="b">
        <v>0</v>
      </c>
      <c r="J3" t="b">
        <v>1</v>
      </c>
      <c r="K3" t="s">
        <v>18</v>
      </c>
      <c r="L3">
        <v>3.8666666666666671</v>
      </c>
      <c r="M3">
        <v>22</v>
      </c>
      <c r="N3">
        <v>1</v>
      </c>
      <c r="O3">
        <v>40</v>
      </c>
      <c r="P3">
        <v>2019</v>
      </c>
      <c r="Q3">
        <v>440</v>
      </c>
    </row>
    <row r="4" spans="1:17" outlineLevel="2" x14ac:dyDescent="0.25">
      <c r="A4" s="2">
        <v>43647</v>
      </c>
      <c r="B4">
        <v>18</v>
      </c>
      <c r="D4">
        <v>0</v>
      </c>
      <c r="E4">
        <v>2</v>
      </c>
      <c r="F4">
        <v>2</v>
      </c>
      <c r="G4">
        <v>2</v>
      </c>
      <c r="H4" s="2">
        <v>43670</v>
      </c>
      <c r="I4" t="b">
        <v>0</v>
      </c>
      <c r="J4" t="b">
        <v>1</v>
      </c>
      <c r="K4" t="s">
        <v>19</v>
      </c>
      <c r="L4">
        <v>0</v>
      </c>
      <c r="M4">
        <v>18</v>
      </c>
      <c r="N4">
        <v>1</v>
      </c>
      <c r="O4">
        <v>40</v>
      </c>
      <c r="P4">
        <v>2019</v>
      </c>
      <c r="Q4">
        <v>440</v>
      </c>
    </row>
    <row r="5" spans="1:17" outlineLevel="2" x14ac:dyDescent="0.25">
      <c r="A5" s="2">
        <v>43678</v>
      </c>
      <c r="B5">
        <v>9</v>
      </c>
      <c r="D5">
        <v>569</v>
      </c>
      <c r="E5">
        <v>2</v>
      </c>
      <c r="F5">
        <v>2</v>
      </c>
      <c r="G5">
        <v>2</v>
      </c>
      <c r="H5" s="2">
        <v>43690</v>
      </c>
      <c r="I5" t="b">
        <v>0</v>
      </c>
      <c r="J5" t="b">
        <v>1</v>
      </c>
      <c r="K5" t="s">
        <v>20</v>
      </c>
      <c r="L5">
        <v>37.933333333333337</v>
      </c>
      <c r="M5">
        <v>9</v>
      </c>
      <c r="N5">
        <v>1</v>
      </c>
      <c r="O5">
        <v>40</v>
      </c>
      <c r="P5">
        <v>2019</v>
      </c>
      <c r="Q5">
        <v>440</v>
      </c>
    </row>
    <row r="6" spans="1:17" outlineLevel="2" x14ac:dyDescent="0.25">
      <c r="A6" s="2">
        <v>43710</v>
      </c>
      <c r="B6">
        <v>24</v>
      </c>
      <c r="D6">
        <v>0</v>
      </c>
      <c r="E6">
        <v>2</v>
      </c>
      <c r="F6">
        <v>2</v>
      </c>
      <c r="G6">
        <v>2</v>
      </c>
      <c r="H6" s="2">
        <v>43741</v>
      </c>
      <c r="I6" t="b">
        <v>0</v>
      </c>
      <c r="J6" t="b">
        <v>1</v>
      </c>
      <c r="K6" t="s">
        <v>21</v>
      </c>
      <c r="L6">
        <v>0</v>
      </c>
      <c r="M6">
        <v>24</v>
      </c>
      <c r="N6">
        <v>1</v>
      </c>
      <c r="O6">
        <v>40</v>
      </c>
      <c r="P6">
        <v>2019</v>
      </c>
      <c r="Q6">
        <v>440</v>
      </c>
    </row>
    <row r="7" spans="1:17" outlineLevel="2" x14ac:dyDescent="0.25">
      <c r="A7" s="2">
        <v>43739</v>
      </c>
      <c r="B7">
        <v>40</v>
      </c>
      <c r="D7">
        <v>0</v>
      </c>
      <c r="E7">
        <v>2</v>
      </c>
      <c r="F7">
        <v>2</v>
      </c>
      <c r="G7">
        <v>2</v>
      </c>
      <c r="H7" s="2">
        <v>43794</v>
      </c>
      <c r="I7" t="b">
        <v>0</v>
      </c>
      <c r="J7" t="b">
        <v>1</v>
      </c>
      <c r="K7" t="s">
        <v>22</v>
      </c>
      <c r="L7">
        <v>0</v>
      </c>
      <c r="M7">
        <v>40</v>
      </c>
      <c r="N7">
        <v>2</v>
      </c>
      <c r="O7">
        <v>80</v>
      </c>
      <c r="P7">
        <v>2019</v>
      </c>
      <c r="Q7">
        <v>440</v>
      </c>
    </row>
    <row r="8" spans="1:17" outlineLevel="2" x14ac:dyDescent="0.25">
      <c r="A8" s="2">
        <v>43770</v>
      </c>
      <c r="B8">
        <v>43</v>
      </c>
      <c r="D8">
        <v>0</v>
      </c>
      <c r="E8">
        <v>2</v>
      </c>
      <c r="F8">
        <v>2</v>
      </c>
      <c r="G8">
        <v>2</v>
      </c>
      <c r="H8" s="2">
        <v>43832</v>
      </c>
      <c r="I8" t="b">
        <v>0</v>
      </c>
      <c r="J8" t="b">
        <v>1</v>
      </c>
      <c r="K8" t="s">
        <v>23</v>
      </c>
      <c r="L8">
        <v>0</v>
      </c>
      <c r="M8">
        <v>43</v>
      </c>
      <c r="N8">
        <v>2</v>
      </c>
      <c r="O8">
        <v>80</v>
      </c>
      <c r="P8">
        <v>2019</v>
      </c>
      <c r="Q8">
        <v>440</v>
      </c>
    </row>
    <row r="9" spans="1:17" outlineLevel="2" x14ac:dyDescent="0.25">
      <c r="A9" s="2">
        <v>43801</v>
      </c>
      <c r="B9">
        <v>26</v>
      </c>
      <c r="D9">
        <v>0</v>
      </c>
      <c r="E9">
        <v>2</v>
      </c>
      <c r="F9">
        <v>2</v>
      </c>
      <c r="G9">
        <v>2</v>
      </c>
      <c r="H9" s="2">
        <v>43838</v>
      </c>
      <c r="I9" t="b">
        <v>0</v>
      </c>
      <c r="J9" t="b">
        <v>1</v>
      </c>
      <c r="K9" t="s">
        <v>24</v>
      </c>
      <c r="L9">
        <v>0</v>
      </c>
      <c r="M9">
        <v>26</v>
      </c>
      <c r="N9">
        <v>1</v>
      </c>
      <c r="O9">
        <v>40</v>
      </c>
      <c r="P9">
        <v>2019</v>
      </c>
      <c r="Q9">
        <v>440</v>
      </c>
    </row>
    <row r="10" spans="1:17" outlineLevel="1" x14ac:dyDescent="0.25">
      <c r="A10" s="4">
        <f>SUBTOTAL(3,A2:A9)</f>
        <v>8</v>
      </c>
      <c r="H10" s="2"/>
      <c r="P10" s="3" t="s">
        <v>143</v>
      </c>
    </row>
    <row r="11" spans="1:17" outlineLevel="2" x14ac:dyDescent="0.25">
      <c r="A11" s="2">
        <v>43832</v>
      </c>
      <c r="B11">
        <v>23</v>
      </c>
      <c r="D11">
        <v>0</v>
      </c>
      <c r="E11">
        <v>2</v>
      </c>
      <c r="F11">
        <v>2</v>
      </c>
      <c r="G11">
        <v>2</v>
      </c>
      <c r="H11" s="2">
        <v>43864</v>
      </c>
      <c r="I11" t="b">
        <v>0</v>
      </c>
      <c r="J11" t="b">
        <v>1</v>
      </c>
      <c r="K11" t="s">
        <v>25</v>
      </c>
      <c r="L11">
        <v>0</v>
      </c>
      <c r="M11">
        <v>23</v>
      </c>
      <c r="N11">
        <v>1</v>
      </c>
      <c r="O11">
        <v>40</v>
      </c>
      <c r="P11">
        <v>2020</v>
      </c>
      <c r="Q11">
        <v>480</v>
      </c>
    </row>
    <row r="12" spans="1:17" outlineLevel="2" x14ac:dyDescent="0.25">
      <c r="A12" s="2">
        <v>43864</v>
      </c>
      <c r="C12">
        <v>19</v>
      </c>
      <c r="D12">
        <v>1500</v>
      </c>
      <c r="E12">
        <v>2</v>
      </c>
      <c r="F12">
        <v>2</v>
      </c>
      <c r="G12">
        <v>2</v>
      </c>
      <c r="H12" s="2">
        <v>43888</v>
      </c>
      <c r="I12" t="b">
        <v>1</v>
      </c>
      <c r="J12" t="b">
        <v>1</v>
      </c>
      <c r="K12" t="s">
        <v>26</v>
      </c>
      <c r="L12">
        <v>100</v>
      </c>
      <c r="M12">
        <v>19</v>
      </c>
      <c r="N12">
        <v>1</v>
      </c>
      <c r="O12">
        <v>40</v>
      </c>
      <c r="P12">
        <v>2020</v>
      </c>
      <c r="Q12">
        <v>480</v>
      </c>
    </row>
    <row r="13" spans="1:17" outlineLevel="2" x14ac:dyDescent="0.25">
      <c r="A13" s="2">
        <v>43892</v>
      </c>
      <c r="C13">
        <v>8</v>
      </c>
      <c r="D13">
        <v>1500</v>
      </c>
      <c r="E13">
        <v>2</v>
      </c>
      <c r="F13">
        <v>2</v>
      </c>
      <c r="G13">
        <v>2</v>
      </c>
      <c r="H13" s="2">
        <v>43901</v>
      </c>
      <c r="I13" t="b">
        <v>1</v>
      </c>
      <c r="J13" t="b">
        <v>1</v>
      </c>
      <c r="K13" t="s">
        <v>27</v>
      </c>
      <c r="L13">
        <v>100</v>
      </c>
      <c r="M13">
        <v>8</v>
      </c>
      <c r="N13">
        <v>1</v>
      </c>
      <c r="O13">
        <v>40</v>
      </c>
      <c r="P13">
        <v>2020</v>
      </c>
      <c r="Q13">
        <v>480</v>
      </c>
    </row>
    <row r="14" spans="1:17" outlineLevel="2" x14ac:dyDescent="0.25">
      <c r="A14" s="2">
        <v>43922</v>
      </c>
      <c r="B14">
        <v>24</v>
      </c>
      <c r="D14">
        <v>766</v>
      </c>
      <c r="E14">
        <v>2</v>
      </c>
      <c r="F14">
        <v>2</v>
      </c>
      <c r="G14">
        <v>2</v>
      </c>
      <c r="H14" s="2">
        <v>43956</v>
      </c>
      <c r="I14" t="b">
        <v>0</v>
      </c>
      <c r="J14" t="b">
        <v>1</v>
      </c>
      <c r="K14" t="s">
        <v>28</v>
      </c>
      <c r="L14">
        <v>51.06666666666667</v>
      </c>
      <c r="M14">
        <v>24</v>
      </c>
      <c r="N14">
        <v>1</v>
      </c>
      <c r="O14">
        <v>40</v>
      </c>
      <c r="P14">
        <v>2020</v>
      </c>
      <c r="Q14">
        <v>480</v>
      </c>
    </row>
    <row r="15" spans="1:17" outlineLevel="2" x14ac:dyDescent="0.25">
      <c r="A15" s="2">
        <v>43952</v>
      </c>
      <c r="B15">
        <v>5</v>
      </c>
      <c r="D15">
        <v>0</v>
      </c>
      <c r="E15">
        <v>2</v>
      </c>
      <c r="F15">
        <v>2</v>
      </c>
      <c r="G15">
        <v>2</v>
      </c>
      <c r="H15" s="2">
        <v>43958</v>
      </c>
      <c r="I15" t="b">
        <v>0</v>
      </c>
      <c r="J15" t="b">
        <v>1</v>
      </c>
      <c r="K15" t="s">
        <v>29</v>
      </c>
      <c r="L15">
        <v>0</v>
      </c>
      <c r="M15">
        <v>5</v>
      </c>
      <c r="N15">
        <v>1</v>
      </c>
      <c r="O15">
        <v>40</v>
      </c>
      <c r="P15">
        <v>2020</v>
      </c>
      <c r="Q15">
        <v>480</v>
      </c>
    </row>
    <row r="16" spans="1:17" outlineLevel="2" x14ac:dyDescent="0.25">
      <c r="A16" s="2">
        <v>43983</v>
      </c>
      <c r="B16">
        <v>17</v>
      </c>
      <c r="D16">
        <v>0</v>
      </c>
      <c r="E16">
        <v>2</v>
      </c>
      <c r="F16">
        <v>2</v>
      </c>
      <c r="G16">
        <v>2</v>
      </c>
      <c r="H16" s="2">
        <v>44005</v>
      </c>
      <c r="I16" t="b">
        <v>0</v>
      </c>
      <c r="J16" t="b">
        <v>1</v>
      </c>
      <c r="K16" t="s">
        <v>30</v>
      </c>
      <c r="L16">
        <v>0</v>
      </c>
      <c r="M16">
        <v>17</v>
      </c>
      <c r="N16">
        <v>1</v>
      </c>
      <c r="O16">
        <v>40</v>
      </c>
      <c r="P16">
        <v>2020</v>
      </c>
      <c r="Q16">
        <v>480</v>
      </c>
    </row>
    <row r="17" spans="1:17" outlineLevel="2" x14ac:dyDescent="0.25">
      <c r="A17" s="2">
        <v>44013</v>
      </c>
      <c r="B17">
        <v>8</v>
      </c>
      <c r="D17">
        <v>0</v>
      </c>
      <c r="E17">
        <v>2</v>
      </c>
      <c r="F17">
        <v>2</v>
      </c>
      <c r="G17">
        <v>2</v>
      </c>
      <c r="H17" s="2">
        <v>44022</v>
      </c>
      <c r="I17" t="b">
        <v>0</v>
      </c>
      <c r="J17" t="b">
        <v>1</v>
      </c>
      <c r="K17" t="s">
        <v>31</v>
      </c>
      <c r="L17">
        <v>0</v>
      </c>
      <c r="M17">
        <v>8</v>
      </c>
      <c r="N17">
        <v>1</v>
      </c>
      <c r="O17">
        <v>40</v>
      </c>
      <c r="P17">
        <v>2020</v>
      </c>
      <c r="Q17">
        <v>480</v>
      </c>
    </row>
    <row r="18" spans="1:17" outlineLevel="2" x14ac:dyDescent="0.25">
      <c r="A18" s="2">
        <v>44046</v>
      </c>
      <c r="B18">
        <v>14</v>
      </c>
      <c r="D18">
        <v>0</v>
      </c>
      <c r="E18">
        <v>2</v>
      </c>
      <c r="F18">
        <v>2</v>
      </c>
      <c r="G18">
        <v>2</v>
      </c>
      <c r="H18" s="2">
        <v>44063</v>
      </c>
      <c r="I18" t="b">
        <v>0</v>
      </c>
      <c r="J18" t="b">
        <v>1</v>
      </c>
      <c r="K18" t="s">
        <v>32</v>
      </c>
      <c r="L18">
        <v>0</v>
      </c>
      <c r="M18">
        <v>14</v>
      </c>
      <c r="N18">
        <v>1</v>
      </c>
      <c r="O18">
        <v>40</v>
      </c>
      <c r="P18">
        <v>2020</v>
      </c>
      <c r="Q18">
        <v>480</v>
      </c>
    </row>
    <row r="19" spans="1:17" outlineLevel="2" x14ac:dyDescent="0.25">
      <c r="A19" s="2">
        <v>44075</v>
      </c>
      <c r="B19">
        <v>8</v>
      </c>
      <c r="D19">
        <v>4</v>
      </c>
      <c r="E19">
        <v>2</v>
      </c>
      <c r="F19">
        <v>2</v>
      </c>
      <c r="G19">
        <v>2</v>
      </c>
      <c r="H19" s="2">
        <v>44084</v>
      </c>
      <c r="I19" t="b">
        <v>0</v>
      </c>
      <c r="J19" t="b">
        <v>1</v>
      </c>
      <c r="K19" t="s">
        <v>33</v>
      </c>
      <c r="L19">
        <v>0.26666666666666672</v>
      </c>
      <c r="M19">
        <v>8</v>
      </c>
      <c r="N19">
        <v>1</v>
      </c>
      <c r="O19">
        <v>40</v>
      </c>
      <c r="P19">
        <v>2020</v>
      </c>
      <c r="Q19">
        <v>480</v>
      </c>
    </row>
    <row r="20" spans="1:17" outlineLevel="2" x14ac:dyDescent="0.25">
      <c r="A20" s="2">
        <v>44105</v>
      </c>
      <c r="B20">
        <v>25</v>
      </c>
      <c r="D20">
        <v>1407</v>
      </c>
      <c r="E20">
        <v>2</v>
      </c>
      <c r="F20">
        <v>2</v>
      </c>
      <c r="G20">
        <v>2</v>
      </c>
      <c r="H20" s="2">
        <v>44139</v>
      </c>
      <c r="I20" t="b">
        <v>0</v>
      </c>
      <c r="J20" t="b">
        <v>1</v>
      </c>
      <c r="K20" t="s">
        <v>34</v>
      </c>
      <c r="L20">
        <v>93.8</v>
      </c>
      <c r="M20">
        <v>25</v>
      </c>
      <c r="N20">
        <v>1</v>
      </c>
      <c r="O20">
        <v>40</v>
      </c>
      <c r="P20">
        <v>2020</v>
      </c>
      <c r="Q20">
        <v>480</v>
      </c>
    </row>
    <row r="21" spans="1:17" outlineLevel="2" x14ac:dyDescent="0.25">
      <c r="A21" s="2">
        <v>44137</v>
      </c>
      <c r="B21">
        <v>3</v>
      </c>
      <c r="D21">
        <v>0</v>
      </c>
      <c r="E21">
        <v>2</v>
      </c>
      <c r="F21">
        <v>2</v>
      </c>
      <c r="G21">
        <v>2</v>
      </c>
      <c r="H21" s="2">
        <v>44139</v>
      </c>
      <c r="I21" t="b">
        <v>0</v>
      </c>
      <c r="J21" t="b">
        <v>1</v>
      </c>
      <c r="K21" t="s">
        <v>35</v>
      </c>
      <c r="L21">
        <v>0</v>
      </c>
      <c r="M21">
        <v>3</v>
      </c>
      <c r="N21">
        <v>1</v>
      </c>
      <c r="O21">
        <v>40</v>
      </c>
      <c r="P21">
        <v>2020</v>
      </c>
      <c r="Q21">
        <v>480</v>
      </c>
    </row>
    <row r="22" spans="1:17" outlineLevel="2" x14ac:dyDescent="0.25">
      <c r="A22" s="2">
        <v>44166</v>
      </c>
      <c r="B22">
        <v>19</v>
      </c>
      <c r="D22">
        <v>0</v>
      </c>
      <c r="E22">
        <v>2</v>
      </c>
      <c r="F22">
        <v>2</v>
      </c>
      <c r="G22">
        <v>2</v>
      </c>
      <c r="H22" s="2">
        <v>44193</v>
      </c>
      <c r="I22" t="b">
        <v>0</v>
      </c>
      <c r="J22" t="b">
        <v>1</v>
      </c>
      <c r="K22" t="s">
        <v>36</v>
      </c>
      <c r="L22">
        <v>0</v>
      </c>
      <c r="M22">
        <v>19</v>
      </c>
      <c r="N22">
        <v>1</v>
      </c>
      <c r="O22">
        <v>40</v>
      </c>
      <c r="P22">
        <v>2020</v>
      </c>
      <c r="Q22">
        <v>480</v>
      </c>
    </row>
    <row r="23" spans="1:17" outlineLevel="1" x14ac:dyDescent="0.25">
      <c r="A23" s="4">
        <f>SUBTOTAL(3,A11:A22)</f>
        <v>12</v>
      </c>
      <c r="H23" s="2"/>
      <c r="P23" s="3" t="s">
        <v>144</v>
      </c>
    </row>
    <row r="24" spans="1:17" outlineLevel="2" x14ac:dyDescent="0.25">
      <c r="A24" s="2">
        <v>44200</v>
      </c>
      <c r="C24">
        <v>20</v>
      </c>
      <c r="D24">
        <v>1500</v>
      </c>
      <c r="E24">
        <v>2</v>
      </c>
      <c r="F24">
        <v>2</v>
      </c>
      <c r="G24">
        <v>2</v>
      </c>
      <c r="H24" s="2">
        <v>44225</v>
      </c>
      <c r="I24" t="b">
        <v>1</v>
      </c>
      <c r="J24" t="b">
        <v>1</v>
      </c>
      <c r="K24" t="s">
        <v>37</v>
      </c>
      <c r="L24">
        <v>100</v>
      </c>
      <c r="M24">
        <v>20</v>
      </c>
      <c r="N24">
        <v>1</v>
      </c>
      <c r="O24">
        <v>40</v>
      </c>
      <c r="P24">
        <v>2021</v>
      </c>
      <c r="Q24">
        <v>560</v>
      </c>
    </row>
    <row r="25" spans="1:17" outlineLevel="2" x14ac:dyDescent="0.25">
      <c r="A25" s="2">
        <v>44228</v>
      </c>
      <c r="B25">
        <v>4</v>
      </c>
      <c r="D25">
        <v>0</v>
      </c>
      <c r="E25">
        <v>2</v>
      </c>
      <c r="F25">
        <v>2</v>
      </c>
      <c r="G25">
        <v>2</v>
      </c>
      <c r="H25" s="2">
        <v>44231</v>
      </c>
      <c r="I25" t="b">
        <v>0</v>
      </c>
      <c r="J25" t="b">
        <v>1</v>
      </c>
      <c r="K25" t="s">
        <v>38</v>
      </c>
      <c r="L25">
        <v>0</v>
      </c>
      <c r="M25">
        <v>4</v>
      </c>
      <c r="N25">
        <v>1</v>
      </c>
      <c r="O25">
        <v>40</v>
      </c>
      <c r="P25">
        <v>2021</v>
      </c>
      <c r="Q25">
        <v>560</v>
      </c>
    </row>
    <row r="26" spans="1:17" outlineLevel="2" x14ac:dyDescent="0.25">
      <c r="A26" s="2">
        <v>44256</v>
      </c>
      <c r="B26">
        <v>12</v>
      </c>
      <c r="D26">
        <v>1196</v>
      </c>
      <c r="E26">
        <v>2</v>
      </c>
      <c r="F26">
        <v>2</v>
      </c>
      <c r="G26">
        <v>2</v>
      </c>
      <c r="H26" s="2">
        <v>44271</v>
      </c>
      <c r="I26" t="b">
        <v>0</v>
      </c>
      <c r="J26" t="b">
        <v>1</v>
      </c>
      <c r="K26" t="s">
        <v>39</v>
      </c>
      <c r="L26">
        <v>79.733333333333334</v>
      </c>
      <c r="M26">
        <v>12</v>
      </c>
      <c r="N26">
        <v>1</v>
      </c>
      <c r="O26">
        <v>40</v>
      </c>
      <c r="P26">
        <v>2021</v>
      </c>
      <c r="Q26">
        <v>560</v>
      </c>
    </row>
    <row r="27" spans="1:17" outlineLevel="2" x14ac:dyDescent="0.25">
      <c r="A27" s="2">
        <v>44287</v>
      </c>
      <c r="B27">
        <v>17</v>
      </c>
      <c r="D27">
        <v>57</v>
      </c>
      <c r="E27">
        <v>2</v>
      </c>
      <c r="F27">
        <v>2</v>
      </c>
      <c r="G27">
        <v>2</v>
      </c>
      <c r="H27" s="2">
        <v>44309</v>
      </c>
      <c r="I27" t="b">
        <v>0</v>
      </c>
      <c r="J27" t="b">
        <v>1</v>
      </c>
      <c r="K27" t="s">
        <v>40</v>
      </c>
      <c r="L27">
        <v>3.8</v>
      </c>
      <c r="M27">
        <v>17</v>
      </c>
      <c r="N27">
        <v>1</v>
      </c>
      <c r="O27">
        <v>40</v>
      </c>
      <c r="P27">
        <v>2021</v>
      </c>
      <c r="Q27">
        <v>560</v>
      </c>
    </row>
    <row r="28" spans="1:17" outlineLevel="2" x14ac:dyDescent="0.25">
      <c r="A28" s="2">
        <v>44319</v>
      </c>
      <c r="C28">
        <v>11</v>
      </c>
      <c r="D28">
        <v>1500</v>
      </c>
      <c r="E28">
        <v>2</v>
      </c>
      <c r="F28">
        <v>2</v>
      </c>
      <c r="G28">
        <v>2</v>
      </c>
      <c r="H28" s="2">
        <v>44333</v>
      </c>
      <c r="I28" t="b">
        <v>1</v>
      </c>
      <c r="J28" t="b">
        <v>1</v>
      </c>
      <c r="K28" t="s">
        <v>41</v>
      </c>
      <c r="L28">
        <v>100</v>
      </c>
      <c r="M28">
        <v>11</v>
      </c>
      <c r="N28">
        <v>1</v>
      </c>
      <c r="O28">
        <v>40</v>
      </c>
      <c r="P28">
        <v>2021</v>
      </c>
      <c r="Q28">
        <v>560</v>
      </c>
    </row>
    <row r="29" spans="1:17" outlineLevel="2" x14ac:dyDescent="0.25">
      <c r="A29" s="2">
        <v>44348</v>
      </c>
      <c r="B29">
        <v>27</v>
      </c>
      <c r="D29">
        <v>491</v>
      </c>
      <c r="E29">
        <v>2</v>
      </c>
      <c r="F29">
        <v>2</v>
      </c>
      <c r="G29">
        <v>2</v>
      </c>
      <c r="H29" s="2">
        <v>44384</v>
      </c>
      <c r="I29" t="b">
        <v>0</v>
      </c>
      <c r="J29" t="b">
        <v>1</v>
      </c>
      <c r="K29" t="s">
        <v>42</v>
      </c>
      <c r="L29">
        <v>32.733333333333327</v>
      </c>
      <c r="M29">
        <v>27</v>
      </c>
      <c r="N29">
        <v>1</v>
      </c>
      <c r="O29">
        <v>40</v>
      </c>
      <c r="P29">
        <v>2021</v>
      </c>
      <c r="Q29">
        <v>560</v>
      </c>
    </row>
    <row r="30" spans="1:17" outlineLevel="2" x14ac:dyDescent="0.25">
      <c r="A30" s="2">
        <v>44378</v>
      </c>
      <c r="B30">
        <v>22</v>
      </c>
      <c r="D30">
        <v>1</v>
      </c>
      <c r="E30">
        <v>2</v>
      </c>
      <c r="F30">
        <v>2</v>
      </c>
      <c r="G30">
        <v>2</v>
      </c>
      <c r="H30" s="2">
        <v>44407</v>
      </c>
      <c r="I30" t="b">
        <v>0</v>
      </c>
      <c r="J30" t="b">
        <v>1</v>
      </c>
      <c r="K30" t="s">
        <v>43</v>
      </c>
      <c r="L30">
        <v>6.6666666666666666E-2</v>
      </c>
      <c r="M30">
        <v>22</v>
      </c>
      <c r="N30">
        <v>1</v>
      </c>
      <c r="O30">
        <v>40</v>
      </c>
      <c r="P30">
        <v>2021</v>
      </c>
      <c r="Q30">
        <v>560</v>
      </c>
    </row>
    <row r="31" spans="1:17" outlineLevel="2" x14ac:dyDescent="0.25">
      <c r="A31" s="2">
        <v>44410</v>
      </c>
      <c r="B31">
        <v>48</v>
      </c>
      <c r="D31">
        <v>171</v>
      </c>
      <c r="E31">
        <v>2</v>
      </c>
      <c r="F31">
        <v>2</v>
      </c>
      <c r="G31">
        <v>2</v>
      </c>
      <c r="H31" s="2">
        <v>44475</v>
      </c>
      <c r="I31" t="b">
        <v>0</v>
      </c>
      <c r="J31" t="b">
        <v>1</v>
      </c>
      <c r="K31" t="s">
        <v>44</v>
      </c>
      <c r="L31">
        <v>11.4</v>
      </c>
      <c r="M31">
        <v>48</v>
      </c>
      <c r="N31">
        <v>2</v>
      </c>
      <c r="O31">
        <v>80</v>
      </c>
      <c r="P31">
        <v>2021</v>
      </c>
      <c r="Q31">
        <v>560</v>
      </c>
    </row>
    <row r="32" spans="1:17" outlineLevel="2" x14ac:dyDescent="0.25">
      <c r="A32" s="2">
        <v>44440</v>
      </c>
      <c r="B32">
        <v>31</v>
      </c>
      <c r="D32">
        <v>41</v>
      </c>
      <c r="E32">
        <v>2</v>
      </c>
      <c r="F32">
        <v>2</v>
      </c>
      <c r="G32">
        <v>2</v>
      </c>
      <c r="H32" s="2">
        <v>44482</v>
      </c>
      <c r="I32" t="b">
        <v>0</v>
      </c>
      <c r="J32" t="b">
        <v>1</v>
      </c>
      <c r="K32" t="s">
        <v>45</v>
      </c>
      <c r="L32">
        <v>2.7333333333333329</v>
      </c>
      <c r="M32">
        <v>31</v>
      </c>
      <c r="N32">
        <v>2</v>
      </c>
      <c r="O32">
        <v>80</v>
      </c>
      <c r="P32">
        <v>2021</v>
      </c>
      <c r="Q32">
        <v>560</v>
      </c>
    </row>
    <row r="33" spans="1:17" outlineLevel="2" x14ac:dyDescent="0.25">
      <c r="A33" s="2">
        <v>44470</v>
      </c>
      <c r="B33">
        <v>9</v>
      </c>
      <c r="D33">
        <v>0</v>
      </c>
      <c r="E33">
        <v>2</v>
      </c>
      <c r="F33">
        <v>2</v>
      </c>
      <c r="G33">
        <v>2</v>
      </c>
      <c r="H33" s="2">
        <v>44482</v>
      </c>
      <c r="I33" t="b">
        <v>0</v>
      </c>
      <c r="J33" t="b">
        <v>1</v>
      </c>
      <c r="K33" t="s">
        <v>46</v>
      </c>
      <c r="L33">
        <v>0</v>
      </c>
      <c r="M33">
        <v>9</v>
      </c>
      <c r="N33">
        <v>1</v>
      </c>
      <c r="O33">
        <v>40</v>
      </c>
      <c r="P33">
        <v>2021</v>
      </c>
      <c r="Q33">
        <v>560</v>
      </c>
    </row>
    <row r="34" spans="1:17" outlineLevel="2" x14ac:dyDescent="0.25">
      <c r="A34" s="2">
        <v>44501</v>
      </c>
      <c r="B34">
        <v>10</v>
      </c>
      <c r="D34">
        <v>0</v>
      </c>
      <c r="E34">
        <v>2</v>
      </c>
      <c r="F34">
        <v>2</v>
      </c>
      <c r="G34">
        <v>2</v>
      </c>
      <c r="H34" s="2">
        <v>44512</v>
      </c>
      <c r="I34" t="b">
        <v>0</v>
      </c>
      <c r="J34" t="b">
        <v>1</v>
      </c>
      <c r="K34" t="s">
        <v>47</v>
      </c>
      <c r="L34">
        <v>0</v>
      </c>
      <c r="M34">
        <v>10</v>
      </c>
      <c r="N34">
        <v>1</v>
      </c>
      <c r="O34">
        <v>40</v>
      </c>
      <c r="P34">
        <v>2021</v>
      </c>
      <c r="Q34">
        <v>560</v>
      </c>
    </row>
    <row r="35" spans="1:17" outlineLevel="2" x14ac:dyDescent="0.25">
      <c r="A35" s="2">
        <v>44531</v>
      </c>
      <c r="C35">
        <v>13</v>
      </c>
      <c r="D35">
        <v>1500</v>
      </c>
      <c r="E35">
        <v>2</v>
      </c>
      <c r="F35">
        <v>2</v>
      </c>
      <c r="G35">
        <v>2</v>
      </c>
      <c r="H35" s="2">
        <v>44547</v>
      </c>
      <c r="I35" t="b">
        <v>1</v>
      </c>
      <c r="J35" t="b">
        <v>1</v>
      </c>
      <c r="K35" t="s">
        <v>48</v>
      </c>
      <c r="L35">
        <v>100</v>
      </c>
      <c r="M35">
        <v>13</v>
      </c>
      <c r="N35">
        <v>1</v>
      </c>
      <c r="O35">
        <v>40</v>
      </c>
      <c r="P35">
        <v>2021</v>
      </c>
      <c r="Q35">
        <v>560</v>
      </c>
    </row>
    <row r="36" spans="1:17" outlineLevel="1" x14ac:dyDescent="0.25">
      <c r="A36" s="4">
        <f>SUBTOTAL(3,A24:A35)</f>
        <v>12</v>
      </c>
      <c r="H36" s="2"/>
      <c r="P36" s="3" t="s">
        <v>145</v>
      </c>
    </row>
    <row r="37" spans="1:17" outlineLevel="2" x14ac:dyDescent="0.25">
      <c r="A37" s="2">
        <v>44564</v>
      </c>
      <c r="C37">
        <v>15</v>
      </c>
      <c r="D37">
        <v>1500</v>
      </c>
      <c r="E37">
        <v>2</v>
      </c>
      <c r="F37">
        <v>2</v>
      </c>
      <c r="G37">
        <v>2</v>
      </c>
      <c r="H37" s="2">
        <v>44582</v>
      </c>
      <c r="I37" t="b">
        <v>1</v>
      </c>
      <c r="J37" t="b">
        <v>1</v>
      </c>
      <c r="K37" t="s">
        <v>49</v>
      </c>
      <c r="L37">
        <v>100</v>
      </c>
      <c r="M37">
        <v>15</v>
      </c>
      <c r="N37">
        <v>1</v>
      </c>
      <c r="O37">
        <v>40</v>
      </c>
      <c r="P37">
        <v>2022</v>
      </c>
      <c r="Q37">
        <v>480</v>
      </c>
    </row>
    <row r="38" spans="1:17" outlineLevel="2" x14ac:dyDescent="0.25">
      <c r="A38" s="2">
        <v>44593</v>
      </c>
      <c r="B38">
        <v>5</v>
      </c>
      <c r="D38">
        <v>0</v>
      </c>
      <c r="E38">
        <v>2</v>
      </c>
      <c r="F38">
        <v>2</v>
      </c>
      <c r="G38">
        <v>2</v>
      </c>
      <c r="H38" s="2">
        <v>44599</v>
      </c>
      <c r="I38" t="b">
        <v>0</v>
      </c>
      <c r="J38" t="b">
        <v>1</v>
      </c>
      <c r="K38" t="s">
        <v>50</v>
      </c>
      <c r="L38">
        <v>0</v>
      </c>
      <c r="M38">
        <v>5</v>
      </c>
      <c r="N38">
        <v>1</v>
      </c>
      <c r="O38">
        <v>40</v>
      </c>
      <c r="P38">
        <v>2022</v>
      </c>
      <c r="Q38">
        <v>480</v>
      </c>
    </row>
    <row r="39" spans="1:17" outlineLevel="2" x14ac:dyDescent="0.25">
      <c r="A39" s="2">
        <v>44621</v>
      </c>
      <c r="C39">
        <v>6</v>
      </c>
      <c r="D39">
        <v>1500</v>
      </c>
      <c r="E39">
        <v>2</v>
      </c>
      <c r="F39">
        <v>2</v>
      </c>
      <c r="G39">
        <v>2</v>
      </c>
      <c r="H39" s="2">
        <v>44628</v>
      </c>
      <c r="I39" t="b">
        <v>1</v>
      </c>
      <c r="J39" t="b">
        <v>1</v>
      </c>
      <c r="K39" t="s">
        <v>51</v>
      </c>
      <c r="L39">
        <v>100</v>
      </c>
      <c r="M39">
        <v>6</v>
      </c>
      <c r="N39">
        <v>1</v>
      </c>
      <c r="O39">
        <v>40</v>
      </c>
      <c r="P39">
        <v>2022</v>
      </c>
      <c r="Q39">
        <v>480</v>
      </c>
    </row>
    <row r="40" spans="1:17" outlineLevel="2" x14ac:dyDescent="0.25">
      <c r="A40" s="2">
        <v>44652</v>
      </c>
      <c r="C40">
        <v>4</v>
      </c>
      <c r="D40">
        <v>1500</v>
      </c>
      <c r="E40">
        <v>2</v>
      </c>
      <c r="F40">
        <v>2</v>
      </c>
      <c r="G40">
        <v>2</v>
      </c>
      <c r="H40" s="2">
        <v>44657</v>
      </c>
      <c r="I40" t="b">
        <v>1</v>
      </c>
      <c r="J40" t="b">
        <v>1</v>
      </c>
      <c r="K40" t="s">
        <v>52</v>
      </c>
      <c r="L40">
        <v>100</v>
      </c>
      <c r="M40">
        <v>4</v>
      </c>
      <c r="N40">
        <v>1</v>
      </c>
      <c r="O40">
        <v>40</v>
      </c>
      <c r="P40">
        <v>2022</v>
      </c>
      <c r="Q40">
        <v>480</v>
      </c>
    </row>
    <row r="41" spans="1:17" outlineLevel="2" x14ac:dyDescent="0.25">
      <c r="A41" s="2">
        <v>44683</v>
      </c>
      <c r="B41">
        <v>12</v>
      </c>
      <c r="D41">
        <v>746</v>
      </c>
      <c r="E41">
        <v>2</v>
      </c>
      <c r="F41">
        <v>2</v>
      </c>
      <c r="G41">
        <v>2</v>
      </c>
      <c r="H41" s="2">
        <v>44698</v>
      </c>
      <c r="I41" t="b">
        <v>0</v>
      </c>
      <c r="J41" t="b">
        <v>1</v>
      </c>
      <c r="K41" t="s">
        <v>53</v>
      </c>
      <c r="L41">
        <v>49.733333333333327</v>
      </c>
      <c r="M41">
        <v>12</v>
      </c>
      <c r="N41">
        <v>1</v>
      </c>
      <c r="O41">
        <v>40</v>
      </c>
      <c r="P41">
        <v>2022</v>
      </c>
      <c r="Q41">
        <v>480</v>
      </c>
    </row>
    <row r="42" spans="1:17" outlineLevel="2" x14ac:dyDescent="0.25">
      <c r="A42" s="2">
        <v>44713</v>
      </c>
      <c r="C42">
        <v>9</v>
      </c>
      <c r="D42">
        <v>1500</v>
      </c>
      <c r="E42">
        <v>2</v>
      </c>
      <c r="F42">
        <v>2</v>
      </c>
      <c r="G42">
        <v>2</v>
      </c>
      <c r="H42" s="2">
        <v>44725</v>
      </c>
      <c r="I42" t="b">
        <v>1</v>
      </c>
      <c r="J42" t="b">
        <v>1</v>
      </c>
      <c r="K42" t="s">
        <v>54</v>
      </c>
      <c r="L42">
        <v>100</v>
      </c>
      <c r="M42">
        <v>9</v>
      </c>
      <c r="N42">
        <v>1</v>
      </c>
      <c r="O42">
        <v>40</v>
      </c>
      <c r="P42">
        <v>2022</v>
      </c>
      <c r="Q42">
        <v>480</v>
      </c>
    </row>
    <row r="43" spans="1:17" outlineLevel="2" x14ac:dyDescent="0.25">
      <c r="A43" s="2">
        <v>44743</v>
      </c>
      <c r="B43">
        <v>4</v>
      </c>
      <c r="D43">
        <v>0</v>
      </c>
      <c r="E43">
        <v>2</v>
      </c>
      <c r="F43">
        <v>2</v>
      </c>
      <c r="G43">
        <v>2</v>
      </c>
      <c r="H43" s="2">
        <v>44748</v>
      </c>
      <c r="I43" t="b">
        <v>0</v>
      </c>
      <c r="J43" t="b">
        <v>1</v>
      </c>
      <c r="K43" t="s">
        <v>55</v>
      </c>
      <c r="L43">
        <v>0</v>
      </c>
      <c r="M43">
        <v>4</v>
      </c>
      <c r="N43">
        <v>1</v>
      </c>
      <c r="O43">
        <v>40</v>
      </c>
      <c r="P43">
        <v>2022</v>
      </c>
      <c r="Q43">
        <v>480</v>
      </c>
    </row>
    <row r="44" spans="1:17" outlineLevel="2" x14ac:dyDescent="0.25">
      <c r="A44" s="2">
        <v>44774</v>
      </c>
      <c r="B44">
        <v>6</v>
      </c>
      <c r="D44">
        <v>346</v>
      </c>
      <c r="E44">
        <v>2</v>
      </c>
      <c r="F44">
        <v>2</v>
      </c>
      <c r="G44">
        <v>2</v>
      </c>
      <c r="H44" s="2">
        <v>44781</v>
      </c>
      <c r="I44" t="b">
        <v>0</v>
      </c>
      <c r="J44" t="b">
        <v>1</v>
      </c>
      <c r="K44" t="s">
        <v>56</v>
      </c>
      <c r="L44">
        <v>23.06666666666667</v>
      </c>
      <c r="M44">
        <v>6</v>
      </c>
      <c r="N44">
        <v>1</v>
      </c>
      <c r="O44">
        <v>40</v>
      </c>
      <c r="P44">
        <v>2022</v>
      </c>
      <c r="Q44">
        <v>480</v>
      </c>
    </row>
    <row r="45" spans="1:17" outlineLevel="2" x14ac:dyDescent="0.25">
      <c r="A45" s="2">
        <v>44805</v>
      </c>
      <c r="B45">
        <v>8</v>
      </c>
      <c r="D45">
        <v>207</v>
      </c>
      <c r="E45">
        <v>2</v>
      </c>
      <c r="F45">
        <v>2</v>
      </c>
      <c r="G45">
        <v>2</v>
      </c>
      <c r="H45" s="2">
        <v>44816</v>
      </c>
      <c r="I45" t="b">
        <v>0</v>
      </c>
      <c r="J45" t="b">
        <v>1</v>
      </c>
      <c r="K45" t="s">
        <v>57</v>
      </c>
      <c r="L45">
        <v>13.8</v>
      </c>
      <c r="M45">
        <v>8</v>
      </c>
      <c r="N45">
        <v>1</v>
      </c>
      <c r="O45">
        <v>40</v>
      </c>
      <c r="P45">
        <v>2022</v>
      </c>
      <c r="Q45">
        <v>480</v>
      </c>
    </row>
    <row r="46" spans="1:17" outlineLevel="2" x14ac:dyDescent="0.25">
      <c r="A46" s="2">
        <v>44837</v>
      </c>
      <c r="B46">
        <v>10</v>
      </c>
      <c r="D46">
        <v>0</v>
      </c>
      <c r="E46">
        <v>2</v>
      </c>
      <c r="F46">
        <v>2</v>
      </c>
      <c r="G46">
        <v>2</v>
      </c>
      <c r="H46" s="2">
        <v>44848</v>
      </c>
      <c r="I46" t="b">
        <v>0</v>
      </c>
      <c r="J46" t="b">
        <v>1</v>
      </c>
      <c r="K46" t="s">
        <v>58</v>
      </c>
      <c r="L46">
        <v>0</v>
      </c>
      <c r="M46">
        <v>10</v>
      </c>
      <c r="N46">
        <v>1</v>
      </c>
      <c r="O46">
        <v>40</v>
      </c>
      <c r="P46">
        <v>2022</v>
      </c>
      <c r="Q46">
        <v>480</v>
      </c>
    </row>
    <row r="47" spans="1:17" outlineLevel="2" x14ac:dyDescent="0.25">
      <c r="A47" s="2">
        <v>44866</v>
      </c>
      <c r="B47">
        <v>17</v>
      </c>
      <c r="D47">
        <v>1287</v>
      </c>
      <c r="E47">
        <v>2</v>
      </c>
      <c r="F47">
        <v>2</v>
      </c>
      <c r="G47">
        <v>2</v>
      </c>
      <c r="H47" s="2">
        <v>44888</v>
      </c>
      <c r="I47" t="b">
        <v>0</v>
      </c>
      <c r="J47" t="b">
        <v>1</v>
      </c>
      <c r="K47" t="s">
        <v>59</v>
      </c>
      <c r="L47">
        <v>85.8</v>
      </c>
      <c r="M47">
        <v>17</v>
      </c>
      <c r="N47">
        <v>1</v>
      </c>
      <c r="O47">
        <v>40</v>
      </c>
      <c r="P47">
        <v>2022</v>
      </c>
      <c r="Q47">
        <v>480</v>
      </c>
    </row>
    <row r="48" spans="1:17" outlineLevel="2" x14ac:dyDescent="0.25">
      <c r="A48" s="2">
        <v>44896</v>
      </c>
      <c r="B48">
        <v>26</v>
      </c>
      <c r="D48">
        <v>797</v>
      </c>
      <c r="E48">
        <v>2</v>
      </c>
      <c r="F48">
        <v>2</v>
      </c>
      <c r="G48">
        <v>2</v>
      </c>
      <c r="H48" s="2">
        <v>44935</v>
      </c>
      <c r="I48" t="b">
        <v>0</v>
      </c>
      <c r="J48" t="b">
        <v>1</v>
      </c>
      <c r="K48" t="s">
        <v>60</v>
      </c>
      <c r="L48">
        <v>53.133333333333333</v>
      </c>
      <c r="M48">
        <v>26</v>
      </c>
      <c r="N48">
        <v>1</v>
      </c>
      <c r="O48">
        <v>40</v>
      </c>
      <c r="P48">
        <v>2022</v>
      </c>
      <c r="Q48">
        <v>480</v>
      </c>
    </row>
    <row r="49" spans="1:17" outlineLevel="1" x14ac:dyDescent="0.25">
      <c r="A49" s="4">
        <f>SUBTOTAL(3,A37:A48)</f>
        <v>12</v>
      </c>
      <c r="H49" s="2"/>
      <c r="P49" s="3" t="s">
        <v>146</v>
      </c>
    </row>
    <row r="50" spans="1:17" outlineLevel="2" x14ac:dyDescent="0.25">
      <c r="A50" s="2">
        <v>44929</v>
      </c>
      <c r="B50">
        <v>4</v>
      </c>
      <c r="D50">
        <v>0</v>
      </c>
      <c r="E50">
        <v>2</v>
      </c>
      <c r="F50">
        <v>2</v>
      </c>
      <c r="G50">
        <v>2</v>
      </c>
      <c r="H50" s="2">
        <v>44932</v>
      </c>
      <c r="I50" t="b">
        <v>0</v>
      </c>
      <c r="J50" t="b">
        <v>1</v>
      </c>
      <c r="K50" t="s">
        <v>61</v>
      </c>
      <c r="L50">
        <v>0</v>
      </c>
      <c r="M50">
        <v>4</v>
      </c>
      <c r="N50">
        <v>1</v>
      </c>
      <c r="O50">
        <v>40</v>
      </c>
      <c r="P50">
        <v>2023</v>
      </c>
      <c r="Q50">
        <v>600</v>
      </c>
    </row>
    <row r="51" spans="1:17" outlineLevel="2" x14ac:dyDescent="0.25">
      <c r="A51" s="2">
        <v>44958</v>
      </c>
      <c r="B51">
        <v>5</v>
      </c>
      <c r="D51">
        <v>57</v>
      </c>
      <c r="E51">
        <v>2</v>
      </c>
      <c r="F51">
        <v>2</v>
      </c>
      <c r="G51">
        <v>2</v>
      </c>
      <c r="H51" s="2">
        <v>44964</v>
      </c>
      <c r="I51" t="b">
        <v>0</v>
      </c>
      <c r="J51" t="b">
        <v>1</v>
      </c>
      <c r="K51" t="s">
        <v>62</v>
      </c>
      <c r="L51">
        <v>3.8</v>
      </c>
      <c r="M51">
        <v>5</v>
      </c>
      <c r="N51">
        <v>1</v>
      </c>
      <c r="O51">
        <v>40</v>
      </c>
      <c r="P51">
        <v>2023</v>
      </c>
      <c r="Q51">
        <v>600</v>
      </c>
    </row>
    <row r="52" spans="1:17" outlineLevel="2" x14ac:dyDescent="0.25">
      <c r="A52" s="2">
        <v>44986</v>
      </c>
      <c r="B52">
        <v>15</v>
      </c>
      <c r="D52">
        <v>137</v>
      </c>
      <c r="E52">
        <v>2</v>
      </c>
      <c r="F52">
        <v>2</v>
      </c>
      <c r="G52">
        <v>2</v>
      </c>
      <c r="H52" s="2">
        <v>45006</v>
      </c>
      <c r="I52" t="b">
        <v>0</v>
      </c>
      <c r="J52" t="b">
        <v>1</v>
      </c>
      <c r="K52" t="s">
        <v>63</v>
      </c>
      <c r="L52">
        <v>9.1333333333333329</v>
      </c>
      <c r="M52">
        <v>15</v>
      </c>
      <c r="N52">
        <v>1</v>
      </c>
      <c r="O52">
        <v>40</v>
      </c>
      <c r="P52">
        <v>2023</v>
      </c>
      <c r="Q52">
        <v>600</v>
      </c>
    </row>
    <row r="53" spans="1:17" outlineLevel="2" x14ac:dyDescent="0.25">
      <c r="A53" s="2">
        <v>45019</v>
      </c>
      <c r="C53">
        <v>18</v>
      </c>
      <c r="D53">
        <v>1500</v>
      </c>
      <c r="E53">
        <v>2</v>
      </c>
      <c r="F53">
        <v>2</v>
      </c>
      <c r="G53">
        <v>2</v>
      </c>
      <c r="H53" s="2">
        <v>45042</v>
      </c>
      <c r="I53" t="b">
        <v>1</v>
      </c>
      <c r="J53" t="b">
        <v>1</v>
      </c>
      <c r="K53" t="s">
        <v>64</v>
      </c>
      <c r="L53">
        <v>100</v>
      </c>
      <c r="M53">
        <v>18</v>
      </c>
      <c r="N53">
        <v>1</v>
      </c>
      <c r="O53">
        <v>40</v>
      </c>
      <c r="P53">
        <v>2023</v>
      </c>
      <c r="Q53">
        <v>600</v>
      </c>
    </row>
    <row r="54" spans="1:17" outlineLevel="2" x14ac:dyDescent="0.25">
      <c r="A54" s="2">
        <v>45047</v>
      </c>
      <c r="B54">
        <v>54</v>
      </c>
      <c r="D54">
        <v>1029</v>
      </c>
      <c r="E54">
        <v>2</v>
      </c>
      <c r="F54">
        <v>2</v>
      </c>
      <c r="G54">
        <v>2</v>
      </c>
      <c r="H54" s="2">
        <v>45120</v>
      </c>
      <c r="I54" t="b">
        <v>0</v>
      </c>
      <c r="J54" t="b">
        <v>1</v>
      </c>
      <c r="K54" t="s">
        <v>65</v>
      </c>
      <c r="L54">
        <v>68.600000000000009</v>
      </c>
      <c r="M54">
        <v>54</v>
      </c>
      <c r="N54">
        <v>2</v>
      </c>
      <c r="O54">
        <v>80</v>
      </c>
      <c r="P54">
        <v>2023</v>
      </c>
      <c r="Q54">
        <v>600</v>
      </c>
    </row>
    <row r="55" spans="1:17" outlineLevel="2" x14ac:dyDescent="0.25">
      <c r="A55" s="2">
        <v>45078</v>
      </c>
      <c r="B55">
        <v>31</v>
      </c>
      <c r="D55">
        <v>555</v>
      </c>
      <c r="E55">
        <v>2</v>
      </c>
      <c r="F55">
        <v>2</v>
      </c>
      <c r="G55">
        <v>2</v>
      </c>
      <c r="H55" s="2">
        <v>45120</v>
      </c>
      <c r="I55" t="b">
        <v>0</v>
      </c>
      <c r="J55" t="b">
        <v>1</v>
      </c>
      <c r="K55" t="s">
        <v>66</v>
      </c>
      <c r="L55">
        <v>37</v>
      </c>
      <c r="M55">
        <v>31</v>
      </c>
      <c r="N55">
        <v>2</v>
      </c>
      <c r="O55">
        <v>80</v>
      </c>
      <c r="P55">
        <v>2023</v>
      </c>
      <c r="Q55">
        <v>600</v>
      </c>
    </row>
    <row r="56" spans="1:17" outlineLevel="2" x14ac:dyDescent="0.25">
      <c r="A56" s="2">
        <v>45110</v>
      </c>
      <c r="B56">
        <v>11</v>
      </c>
      <c r="D56">
        <v>13</v>
      </c>
      <c r="E56">
        <v>2</v>
      </c>
      <c r="F56">
        <v>2</v>
      </c>
      <c r="G56">
        <v>2</v>
      </c>
      <c r="H56" s="2">
        <v>45124</v>
      </c>
      <c r="I56" t="b">
        <v>0</v>
      </c>
      <c r="J56" t="b">
        <v>1</v>
      </c>
      <c r="K56" t="s">
        <v>67</v>
      </c>
      <c r="L56">
        <v>0.86666666666666659</v>
      </c>
      <c r="M56">
        <v>11</v>
      </c>
      <c r="N56">
        <v>1</v>
      </c>
      <c r="O56">
        <v>40</v>
      </c>
      <c r="P56">
        <v>2023</v>
      </c>
      <c r="Q56">
        <v>600</v>
      </c>
    </row>
    <row r="57" spans="1:17" outlineLevel="2" x14ac:dyDescent="0.25">
      <c r="A57" s="2">
        <v>45139</v>
      </c>
      <c r="B57">
        <v>25</v>
      </c>
      <c r="D57">
        <v>976</v>
      </c>
      <c r="E57">
        <v>2</v>
      </c>
      <c r="F57">
        <v>2</v>
      </c>
      <c r="G57">
        <v>2</v>
      </c>
      <c r="H57" s="2">
        <v>45173</v>
      </c>
      <c r="I57" t="b">
        <v>0</v>
      </c>
      <c r="J57" t="b">
        <v>1</v>
      </c>
      <c r="K57" t="s">
        <v>68</v>
      </c>
      <c r="L57">
        <v>65.066666666666663</v>
      </c>
      <c r="M57">
        <v>25</v>
      </c>
      <c r="N57">
        <v>1</v>
      </c>
      <c r="O57">
        <v>40</v>
      </c>
      <c r="P57">
        <v>2023</v>
      </c>
      <c r="Q57">
        <v>600</v>
      </c>
    </row>
    <row r="58" spans="1:17" outlineLevel="2" x14ac:dyDescent="0.25">
      <c r="A58" s="2">
        <v>45170</v>
      </c>
      <c r="C58">
        <v>33</v>
      </c>
      <c r="D58">
        <v>1500</v>
      </c>
      <c r="E58">
        <v>2</v>
      </c>
      <c r="F58">
        <v>2</v>
      </c>
      <c r="G58">
        <v>2</v>
      </c>
      <c r="H58" s="2">
        <v>45216</v>
      </c>
      <c r="I58" t="b">
        <v>1</v>
      </c>
      <c r="J58" t="b">
        <v>1</v>
      </c>
      <c r="K58" t="s">
        <v>69</v>
      </c>
      <c r="L58">
        <v>100</v>
      </c>
      <c r="M58">
        <v>33</v>
      </c>
      <c r="N58">
        <v>2</v>
      </c>
      <c r="O58">
        <v>80</v>
      </c>
      <c r="P58">
        <v>2023</v>
      </c>
      <c r="Q58">
        <v>600</v>
      </c>
    </row>
    <row r="59" spans="1:17" outlineLevel="2" x14ac:dyDescent="0.25">
      <c r="A59" s="2">
        <v>45201</v>
      </c>
      <c r="C59">
        <v>13</v>
      </c>
      <c r="D59">
        <v>1500</v>
      </c>
      <c r="E59">
        <v>2</v>
      </c>
      <c r="F59">
        <v>2</v>
      </c>
      <c r="G59">
        <v>2</v>
      </c>
      <c r="H59" s="2">
        <v>45217</v>
      </c>
      <c r="I59" t="b">
        <v>1</v>
      </c>
      <c r="J59" t="b">
        <v>1</v>
      </c>
      <c r="K59" t="s">
        <v>70</v>
      </c>
      <c r="L59">
        <v>100</v>
      </c>
      <c r="M59">
        <v>13</v>
      </c>
      <c r="N59">
        <v>1</v>
      </c>
      <c r="O59">
        <v>40</v>
      </c>
      <c r="P59">
        <v>2023</v>
      </c>
      <c r="Q59">
        <v>600</v>
      </c>
    </row>
    <row r="60" spans="1:17" outlineLevel="2" x14ac:dyDescent="0.25">
      <c r="A60" s="2">
        <v>45231</v>
      </c>
      <c r="B60">
        <v>28</v>
      </c>
      <c r="D60">
        <v>0</v>
      </c>
      <c r="E60">
        <v>2</v>
      </c>
      <c r="F60">
        <v>2</v>
      </c>
      <c r="G60">
        <v>2</v>
      </c>
      <c r="H60" s="2">
        <v>45268</v>
      </c>
      <c r="I60" t="b">
        <v>0</v>
      </c>
      <c r="J60" t="b">
        <v>1</v>
      </c>
      <c r="K60" t="s">
        <v>71</v>
      </c>
      <c r="L60">
        <v>0</v>
      </c>
      <c r="M60">
        <v>28</v>
      </c>
      <c r="N60">
        <v>1</v>
      </c>
      <c r="O60">
        <v>40</v>
      </c>
      <c r="P60">
        <v>2023</v>
      </c>
      <c r="Q60">
        <v>600</v>
      </c>
    </row>
    <row r="61" spans="1:17" outlineLevel="2" x14ac:dyDescent="0.25">
      <c r="A61" s="2">
        <v>45261</v>
      </c>
      <c r="B61">
        <v>8</v>
      </c>
      <c r="D61">
        <v>82</v>
      </c>
      <c r="E61">
        <v>2</v>
      </c>
      <c r="F61">
        <v>2</v>
      </c>
      <c r="G61">
        <v>2</v>
      </c>
      <c r="H61" s="2">
        <v>45272</v>
      </c>
      <c r="I61" t="b">
        <v>0</v>
      </c>
      <c r="J61" t="b">
        <v>1</v>
      </c>
      <c r="K61" t="s">
        <v>72</v>
      </c>
      <c r="L61">
        <v>5.4666666666666668</v>
      </c>
      <c r="M61">
        <v>8</v>
      </c>
      <c r="N61">
        <v>1</v>
      </c>
      <c r="O61">
        <v>40</v>
      </c>
      <c r="P61">
        <v>2023</v>
      </c>
      <c r="Q61">
        <v>600</v>
      </c>
    </row>
    <row r="62" spans="1:17" outlineLevel="1" x14ac:dyDescent="0.25">
      <c r="A62" s="4">
        <f>SUBTOTAL(3,A50:A61)</f>
        <v>12</v>
      </c>
      <c r="H62" s="2"/>
      <c r="P62" s="3" t="s">
        <v>147</v>
      </c>
    </row>
    <row r="63" spans="1:17" outlineLevel="2" x14ac:dyDescent="0.25">
      <c r="A63" s="2">
        <v>45293</v>
      </c>
      <c r="B63">
        <v>27</v>
      </c>
      <c r="D63">
        <v>620</v>
      </c>
      <c r="E63">
        <v>2</v>
      </c>
      <c r="F63">
        <v>2</v>
      </c>
      <c r="G63">
        <v>2</v>
      </c>
      <c r="H63" s="2">
        <v>45329</v>
      </c>
      <c r="I63" t="b">
        <v>0</v>
      </c>
      <c r="J63" t="b">
        <v>1</v>
      </c>
      <c r="K63" t="s">
        <v>73</v>
      </c>
      <c r="L63">
        <v>41.333333333333343</v>
      </c>
      <c r="M63">
        <v>27</v>
      </c>
      <c r="N63">
        <v>1</v>
      </c>
      <c r="O63">
        <v>40</v>
      </c>
      <c r="P63">
        <v>2024</v>
      </c>
      <c r="Q63">
        <v>520</v>
      </c>
    </row>
    <row r="64" spans="1:17" outlineLevel="2" x14ac:dyDescent="0.25">
      <c r="A64" s="2">
        <v>45323</v>
      </c>
      <c r="C64">
        <v>30</v>
      </c>
      <c r="D64">
        <v>1500</v>
      </c>
      <c r="E64">
        <v>2</v>
      </c>
      <c r="F64">
        <v>2</v>
      </c>
      <c r="G64">
        <v>2</v>
      </c>
      <c r="H64" s="2">
        <v>45364</v>
      </c>
      <c r="I64" t="b">
        <v>1</v>
      </c>
      <c r="J64" t="b">
        <v>1</v>
      </c>
      <c r="K64" t="s">
        <v>74</v>
      </c>
      <c r="L64">
        <v>100</v>
      </c>
      <c r="M64">
        <v>30</v>
      </c>
      <c r="N64">
        <v>1</v>
      </c>
      <c r="O64">
        <v>40</v>
      </c>
      <c r="P64">
        <v>2024</v>
      </c>
      <c r="Q64">
        <v>520</v>
      </c>
    </row>
    <row r="65" spans="1:17" outlineLevel="2" x14ac:dyDescent="0.25">
      <c r="A65" s="2">
        <v>45352</v>
      </c>
      <c r="C65">
        <v>9</v>
      </c>
      <c r="D65">
        <v>1500</v>
      </c>
      <c r="E65">
        <v>2</v>
      </c>
      <c r="F65">
        <v>2</v>
      </c>
      <c r="G65">
        <v>2</v>
      </c>
      <c r="H65" s="2">
        <v>45364</v>
      </c>
      <c r="I65" t="b">
        <v>1</v>
      </c>
      <c r="J65" t="b">
        <v>1</v>
      </c>
      <c r="K65" t="s">
        <v>75</v>
      </c>
      <c r="L65">
        <v>100</v>
      </c>
      <c r="M65">
        <v>9</v>
      </c>
      <c r="N65">
        <v>1</v>
      </c>
      <c r="O65">
        <v>40</v>
      </c>
      <c r="P65">
        <v>2024</v>
      </c>
      <c r="Q65">
        <v>520</v>
      </c>
    </row>
    <row r="66" spans="1:17" outlineLevel="2" x14ac:dyDescent="0.25">
      <c r="A66" s="2">
        <v>45383</v>
      </c>
      <c r="C66">
        <v>12</v>
      </c>
      <c r="D66">
        <v>1500</v>
      </c>
      <c r="E66">
        <v>2</v>
      </c>
      <c r="F66">
        <v>2</v>
      </c>
      <c r="G66">
        <v>2</v>
      </c>
      <c r="H66" s="2">
        <v>45398</v>
      </c>
      <c r="I66" t="b">
        <v>1</v>
      </c>
      <c r="J66" t="b">
        <v>1</v>
      </c>
      <c r="K66" t="s">
        <v>76</v>
      </c>
      <c r="L66">
        <v>100</v>
      </c>
      <c r="M66">
        <v>12</v>
      </c>
      <c r="N66">
        <v>1</v>
      </c>
      <c r="O66">
        <v>40</v>
      </c>
      <c r="P66">
        <v>2024</v>
      </c>
      <c r="Q66">
        <v>520</v>
      </c>
    </row>
    <row r="67" spans="1:17" outlineLevel="2" x14ac:dyDescent="0.25">
      <c r="A67" s="2">
        <v>45413</v>
      </c>
      <c r="B67">
        <v>11</v>
      </c>
      <c r="D67">
        <v>0</v>
      </c>
      <c r="E67">
        <v>2</v>
      </c>
      <c r="F67">
        <v>2</v>
      </c>
      <c r="G67">
        <v>2</v>
      </c>
      <c r="H67" s="2">
        <v>45427</v>
      </c>
      <c r="I67" t="b">
        <v>0</v>
      </c>
      <c r="J67" t="b">
        <v>1</v>
      </c>
      <c r="K67" t="s">
        <v>77</v>
      </c>
      <c r="L67">
        <v>0</v>
      </c>
      <c r="M67">
        <v>11</v>
      </c>
      <c r="N67">
        <v>1</v>
      </c>
      <c r="O67">
        <v>40</v>
      </c>
      <c r="P67">
        <v>2024</v>
      </c>
      <c r="Q67">
        <v>520</v>
      </c>
    </row>
    <row r="68" spans="1:17" outlineLevel="2" x14ac:dyDescent="0.25">
      <c r="A68" s="2">
        <v>45446</v>
      </c>
      <c r="B68">
        <v>3</v>
      </c>
      <c r="D68">
        <v>0</v>
      </c>
      <c r="E68">
        <v>2</v>
      </c>
      <c r="F68">
        <v>2</v>
      </c>
      <c r="G68">
        <v>2</v>
      </c>
      <c r="H68" s="2">
        <v>45448</v>
      </c>
      <c r="I68" t="b">
        <v>0</v>
      </c>
      <c r="J68" t="b">
        <v>1</v>
      </c>
      <c r="K68" t="s">
        <v>78</v>
      </c>
      <c r="L68">
        <v>0</v>
      </c>
      <c r="M68">
        <v>3</v>
      </c>
      <c r="N68">
        <v>1</v>
      </c>
      <c r="O68">
        <v>40</v>
      </c>
      <c r="P68">
        <v>2024</v>
      </c>
      <c r="Q68">
        <v>520</v>
      </c>
    </row>
    <row r="69" spans="1:17" outlineLevel="2" x14ac:dyDescent="0.25">
      <c r="A69" s="2">
        <v>45474</v>
      </c>
      <c r="B69">
        <v>3</v>
      </c>
      <c r="D69">
        <v>0</v>
      </c>
      <c r="E69">
        <v>2</v>
      </c>
      <c r="F69">
        <v>2</v>
      </c>
      <c r="G69">
        <v>2</v>
      </c>
      <c r="H69" s="2">
        <v>45476</v>
      </c>
      <c r="I69" t="b">
        <v>0</v>
      </c>
      <c r="J69" t="b">
        <v>1</v>
      </c>
      <c r="K69" t="s">
        <v>79</v>
      </c>
      <c r="L69">
        <v>0</v>
      </c>
      <c r="M69">
        <v>3</v>
      </c>
      <c r="N69">
        <v>1</v>
      </c>
      <c r="O69">
        <v>40</v>
      </c>
      <c r="P69">
        <v>2024</v>
      </c>
      <c r="Q69">
        <v>520</v>
      </c>
    </row>
    <row r="70" spans="1:17" outlineLevel="2" x14ac:dyDescent="0.25">
      <c r="A70" s="2">
        <v>45505</v>
      </c>
      <c r="C70">
        <v>2</v>
      </c>
      <c r="D70">
        <v>1500</v>
      </c>
      <c r="E70">
        <v>2</v>
      </c>
      <c r="F70">
        <v>2</v>
      </c>
      <c r="G70">
        <v>2</v>
      </c>
      <c r="H70" s="2">
        <v>45506</v>
      </c>
      <c r="I70" t="b">
        <v>1</v>
      </c>
      <c r="J70" t="b">
        <v>1</v>
      </c>
      <c r="K70" t="s">
        <v>80</v>
      </c>
      <c r="L70">
        <v>100</v>
      </c>
      <c r="M70">
        <v>2</v>
      </c>
      <c r="N70">
        <v>1</v>
      </c>
      <c r="O70">
        <v>40</v>
      </c>
      <c r="P70">
        <v>2024</v>
      </c>
      <c r="Q70">
        <v>520</v>
      </c>
    </row>
    <row r="71" spans="1:17" outlineLevel="2" x14ac:dyDescent="0.25">
      <c r="A71" s="2">
        <v>45537</v>
      </c>
      <c r="B71">
        <v>8</v>
      </c>
      <c r="D71">
        <v>544</v>
      </c>
      <c r="E71">
        <v>2</v>
      </c>
      <c r="F71">
        <v>2</v>
      </c>
      <c r="G71">
        <v>2</v>
      </c>
      <c r="H71" s="2">
        <v>45546</v>
      </c>
      <c r="I71" t="b">
        <v>0</v>
      </c>
      <c r="J71" t="b">
        <v>1</v>
      </c>
      <c r="K71" t="s">
        <v>81</v>
      </c>
      <c r="L71">
        <v>36.266666666666673</v>
      </c>
      <c r="M71">
        <v>8</v>
      </c>
      <c r="N71">
        <v>1</v>
      </c>
      <c r="O71">
        <v>40</v>
      </c>
      <c r="P71">
        <v>2024</v>
      </c>
      <c r="Q71">
        <v>520</v>
      </c>
    </row>
    <row r="72" spans="1:17" outlineLevel="2" x14ac:dyDescent="0.25">
      <c r="A72" s="2">
        <v>45566</v>
      </c>
      <c r="B72">
        <v>54</v>
      </c>
      <c r="D72">
        <v>1115</v>
      </c>
      <c r="E72">
        <v>2</v>
      </c>
      <c r="F72">
        <v>2</v>
      </c>
      <c r="G72">
        <v>2</v>
      </c>
      <c r="H72" s="2">
        <v>45639</v>
      </c>
      <c r="I72" t="b">
        <v>0</v>
      </c>
      <c r="J72" t="b">
        <v>1</v>
      </c>
      <c r="K72" t="s">
        <v>82</v>
      </c>
      <c r="L72">
        <v>74.333333333333329</v>
      </c>
      <c r="M72">
        <v>54</v>
      </c>
      <c r="N72">
        <v>2</v>
      </c>
      <c r="O72">
        <v>80</v>
      </c>
      <c r="P72">
        <v>2024</v>
      </c>
      <c r="Q72">
        <v>520</v>
      </c>
    </row>
    <row r="73" spans="1:17" outlineLevel="2" x14ac:dyDescent="0.25">
      <c r="A73" s="2">
        <v>45597</v>
      </c>
      <c r="B73">
        <v>7</v>
      </c>
      <c r="D73">
        <v>245</v>
      </c>
      <c r="E73">
        <v>2</v>
      </c>
      <c r="F73">
        <v>2</v>
      </c>
      <c r="G73">
        <v>2</v>
      </c>
      <c r="H73" s="2">
        <v>45607</v>
      </c>
      <c r="I73" t="b">
        <v>0</v>
      </c>
      <c r="J73" t="b">
        <v>1</v>
      </c>
      <c r="K73" t="s">
        <v>83</v>
      </c>
      <c r="L73">
        <v>16.333333333333329</v>
      </c>
      <c r="M73">
        <v>7</v>
      </c>
      <c r="N73">
        <v>1</v>
      </c>
      <c r="O73">
        <v>40</v>
      </c>
      <c r="P73">
        <v>2024</v>
      </c>
      <c r="Q73">
        <v>520</v>
      </c>
    </row>
    <row r="74" spans="1:17" outlineLevel="2" x14ac:dyDescent="0.25">
      <c r="A74" s="2">
        <v>45628</v>
      </c>
      <c r="B74">
        <v>13</v>
      </c>
      <c r="D74">
        <v>310</v>
      </c>
      <c r="E74">
        <v>2</v>
      </c>
      <c r="F74">
        <v>2</v>
      </c>
      <c r="G74">
        <v>2</v>
      </c>
      <c r="H74" s="2">
        <v>45644</v>
      </c>
      <c r="I74" t="b">
        <v>0</v>
      </c>
      <c r="J74" t="b">
        <v>1</v>
      </c>
      <c r="K74" t="s">
        <v>84</v>
      </c>
      <c r="L74">
        <v>20.666666666666671</v>
      </c>
      <c r="M74">
        <v>13</v>
      </c>
      <c r="N74">
        <v>1</v>
      </c>
      <c r="O74">
        <v>40</v>
      </c>
      <c r="P74">
        <v>2024</v>
      </c>
      <c r="Q74">
        <v>520</v>
      </c>
    </row>
    <row r="75" spans="1:17" outlineLevel="1" x14ac:dyDescent="0.25">
      <c r="A75" s="4">
        <f>SUBTOTAL(3,A63:A74)</f>
        <v>12</v>
      </c>
      <c r="H75" s="2"/>
      <c r="P75" s="3" t="s">
        <v>148</v>
      </c>
    </row>
    <row r="76" spans="1:17" outlineLevel="2" x14ac:dyDescent="0.25">
      <c r="A76" s="2">
        <v>45659</v>
      </c>
      <c r="C76">
        <v>11</v>
      </c>
      <c r="D76">
        <v>1500</v>
      </c>
      <c r="E76">
        <v>2</v>
      </c>
      <c r="F76">
        <v>2</v>
      </c>
      <c r="G76">
        <v>2</v>
      </c>
      <c r="H76" s="2">
        <v>45673</v>
      </c>
      <c r="I76" t="b">
        <v>1</v>
      </c>
      <c r="J76" t="b">
        <v>1</v>
      </c>
      <c r="K76" t="s">
        <v>85</v>
      </c>
      <c r="L76">
        <v>100</v>
      </c>
      <c r="M76">
        <v>11</v>
      </c>
      <c r="N76">
        <v>1</v>
      </c>
      <c r="O76">
        <v>40</v>
      </c>
      <c r="P76">
        <v>2025</v>
      </c>
      <c r="Q76">
        <v>400</v>
      </c>
    </row>
    <row r="77" spans="1:17" outlineLevel="2" x14ac:dyDescent="0.25">
      <c r="A77" s="2">
        <v>45691</v>
      </c>
      <c r="B77">
        <v>15</v>
      </c>
      <c r="D77">
        <v>0</v>
      </c>
      <c r="E77">
        <v>2</v>
      </c>
      <c r="F77">
        <v>2</v>
      </c>
      <c r="G77">
        <v>2</v>
      </c>
      <c r="H77" s="2">
        <v>45709</v>
      </c>
      <c r="I77" t="b">
        <v>0</v>
      </c>
      <c r="J77" t="b">
        <v>1</v>
      </c>
      <c r="K77" t="s">
        <v>86</v>
      </c>
      <c r="L77">
        <v>0</v>
      </c>
      <c r="M77">
        <v>15</v>
      </c>
      <c r="N77">
        <v>1</v>
      </c>
      <c r="O77">
        <v>40</v>
      </c>
      <c r="P77">
        <v>2025</v>
      </c>
      <c r="Q77">
        <v>400</v>
      </c>
    </row>
    <row r="78" spans="1:17" outlineLevel="2" x14ac:dyDescent="0.25">
      <c r="A78" s="2">
        <v>45719</v>
      </c>
      <c r="C78">
        <v>4</v>
      </c>
      <c r="D78">
        <v>1500</v>
      </c>
      <c r="E78">
        <v>2</v>
      </c>
      <c r="F78">
        <v>2</v>
      </c>
      <c r="G78">
        <v>2</v>
      </c>
      <c r="H78" s="2">
        <v>45722</v>
      </c>
      <c r="I78" t="b">
        <v>1</v>
      </c>
      <c r="J78" t="b">
        <v>1</v>
      </c>
      <c r="K78" t="s">
        <v>87</v>
      </c>
      <c r="L78">
        <v>100</v>
      </c>
      <c r="M78">
        <v>4</v>
      </c>
      <c r="N78">
        <v>1</v>
      </c>
      <c r="O78">
        <v>40</v>
      </c>
      <c r="P78">
        <v>2025</v>
      </c>
      <c r="Q78">
        <v>400</v>
      </c>
    </row>
    <row r="79" spans="1:17" outlineLevel="2" x14ac:dyDescent="0.25">
      <c r="A79" s="2">
        <v>45748</v>
      </c>
      <c r="B79">
        <v>1</v>
      </c>
      <c r="D79">
        <v>0</v>
      </c>
      <c r="E79">
        <v>2</v>
      </c>
      <c r="F79">
        <v>2</v>
      </c>
      <c r="G79">
        <v>2</v>
      </c>
      <c r="H79" s="2">
        <v>45748</v>
      </c>
      <c r="I79" t="b">
        <v>0</v>
      </c>
      <c r="J79" t="b">
        <v>1</v>
      </c>
      <c r="K79" t="s">
        <v>88</v>
      </c>
      <c r="L79">
        <v>0</v>
      </c>
      <c r="M79">
        <v>1</v>
      </c>
      <c r="N79">
        <v>1</v>
      </c>
      <c r="O79">
        <v>40</v>
      </c>
      <c r="P79">
        <v>2025</v>
      </c>
      <c r="Q79">
        <v>400</v>
      </c>
    </row>
    <row r="80" spans="1:17" outlineLevel="2" x14ac:dyDescent="0.25">
      <c r="A80" s="2">
        <v>45778</v>
      </c>
      <c r="C80">
        <v>4</v>
      </c>
      <c r="D80">
        <v>1500</v>
      </c>
      <c r="E80">
        <v>2</v>
      </c>
      <c r="F80">
        <v>2</v>
      </c>
      <c r="G80">
        <v>2</v>
      </c>
      <c r="H80" s="2">
        <v>45783</v>
      </c>
      <c r="I80" t="b">
        <v>1</v>
      </c>
      <c r="J80" t="b">
        <v>1</v>
      </c>
      <c r="K80" t="s">
        <v>89</v>
      </c>
      <c r="L80">
        <v>100</v>
      </c>
      <c r="M80">
        <v>4</v>
      </c>
      <c r="N80">
        <v>1</v>
      </c>
      <c r="O80">
        <v>40</v>
      </c>
      <c r="P80">
        <v>2025</v>
      </c>
      <c r="Q80">
        <v>400</v>
      </c>
    </row>
    <row r="81" spans="1:17" outlineLevel="2" x14ac:dyDescent="0.25">
      <c r="A81" s="2">
        <v>45810</v>
      </c>
      <c r="C81">
        <v>12</v>
      </c>
      <c r="D81">
        <v>1500</v>
      </c>
      <c r="E81">
        <v>2</v>
      </c>
      <c r="F81">
        <v>2</v>
      </c>
      <c r="G81">
        <v>2</v>
      </c>
      <c r="H81" s="2">
        <v>45825</v>
      </c>
      <c r="I81" t="b">
        <v>1</v>
      </c>
      <c r="J81" t="b">
        <v>1</v>
      </c>
      <c r="K81" t="s">
        <v>90</v>
      </c>
      <c r="L81">
        <v>100</v>
      </c>
      <c r="M81">
        <v>12</v>
      </c>
      <c r="N81">
        <v>1</v>
      </c>
      <c r="O81">
        <v>40</v>
      </c>
      <c r="P81">
        <v>2025</v>
      </c>
      <c r="Q81">
        <v>400</v>
      </c>
    </row>
    <row r="82" spans="1:17" outlineLevel="2" x14ac:dyDescent="0.25">
      <c r="A82" s="2">
        <v>45839</v>
      </c>
      <c r="C82">
        <v>23</v>
      </c>
      <c r="D82">
        <v>1500</v>
      </c>
      <c r="E82">
        <v>2</v>
      </c>
      <c r="F82">
        <v>2</v>
      </c>
      <c r="G82">
        <v>2</v>
      </c>
      <c r="H82" s="2">
        <v>45869</v>
      </c>
      <c r="I82" t="b">
        <v>1</v>
      </c>
      <c r="J82" t="b">
        <v>1</v>
      </c>
      <c r="K82" t="s">
        <v>91</v>
      </c>
      <c r="L82">
        <v>100</v>
      </c>
      <c r="M82">
        <v>23</v>
      </c>
      <c r="N82">
        <v>1</v>
      </c>
      <c r="O82">
        <v>40</v>
      </c>
      <c r="P82">
        <v>2025</v>
      </c>
      <c r="Q82">
        <v>400</v>
      </c>
    </row>
    <row r="83" spans="1:17" outlineLevel="2" x14ac:dyDescent="0.25">
      <c r="A83" s="2">
        <v>45870</v>
      </c>
      <c r="B83">
        <v>9</v>
      </c>
      <c r="D83">
        <v>822</v>
      </c>
      <c r="E83">
        <v>2</v>
      </c>
      <c r="F83">
        <v>2</v>
      </c>
      <c r="G83">
        <v>2</v>
      </c>
      <c r="H83" s="2">
        <v>45882</v>
      </c>
      <c r="I83" t="b">
        <v>0</v>
      </c>
      <c r="J83" t="b">
        <v>1</v>
      </c>
      <c r="K83" t="s">
        <v>92</v>
      </c>
      <c r="L83">
        <v>54.8</v>
      </c>
      <c r="M83">
        <v>9</v>
      </c>
      <c r="N83">
        <v>1</v>
      </c>
      <c r="O83">
        <v>40</v>
      </c>
      <c r="P83">
        <v>2025</v>
      </c>
      <c r="Q83">
        <v>400</v>
      </c>
    </row>
    <row r="84" spans="1:17" outlineLevel="2" x14ac:dyDescent="0.25">
      <c r="A84" s="2">
        <v>45901</v>
      </c>
      <c r="B84">
        <v>9</v>
      </c>
      <c r="D84">
        <v>48</v>
      </c>
      <c r="E84">
        <v>2</v>
      </c>
      <c r="F84">
        <v>2</v>
      </c>
      <c r="G84">
        <v>2</v>
      </c>
      <c r="H84" s="2">
        <v>45911</v>
      </c>
      <c r="I84" t="b">
        <v>0</v>
      </c>
      <c r="J84" t="b">
        <v>1</v>
      </c>
      <c r="K84" t="s">
        <v>93</v>
      </c>
      <c r="L84">
        <v>3.2</v>
      </c>
      <c r="M84">
        <v>9</v>
      </c>
      <c r="N84">
        <v>1</v>
      </c>
      <c r="O84">
        <v>40</v>
      </c>
      <c r="P84">
        <v>2025</v>
      </c>
      <c r="Q84">
        <v>400</v>
      </c>
    </row>
    <row r="85" spans="1:17" outlineLevel="2" x14ac:dyDescent="0.25">
      <c r="A85" s="2">
        <v>45931</v>
      </c>
      <c r="B85">
        <v>6</v>
      </c>
      <c r="D85">
        <v>0</v>
      </c>
      <c r="E85">
        <v>2</v>
      </c>
      <c r="F85">
        <v>2</v>
      </c>
      <c r="G85">
        <v>2</v>
      </c>
      <c r="H85" s="2">
        <v>45938</v>
      </c>
      <c r="I85" t="b">
        <v>0</v>
      </c>
      <c r="J85" t="b">
        <v>1</v>
      </c>
      <c r="K85" t="s">
        <v>94</v>
      </c>
      <c r="L85">
        <v>0</v>
      </c>
      <c r="M85">
        <v>6</v>
      </c>
      <c r="N85">
        <v>1</v>
      </c>
      <c r="O85">
        <v>40</v>
      </c>
      <c r="P85">
        <v>2025</v>
      </c>
      <c r="Q85">
        <v>400</v>
      </c>
    </row>
    <row r="86" spans="1:17" outlineLevel="1" x14ac:dyDescent="0.25">
      <c r="A86" s="4">
        <f>SUBTOTAL(3,A76:A85)</f>
        <v>10</v>
      </c>
      <c r="H86" s="2"/>
      <c r="P86" s="3" t="s">
        <v>149</v>
      </c>
    </row>
    <row r="87" spans="1:17" x14ac:dyDescent="0.25">
      <c r="A87" s="4">
        <f>SUBTOTAL(3,A2:A85)</f>
        <v>78</v>
      </c>
      <c r="H87" s="2"/>
      <c r="P87" s="3" t="s">
        <v>150</v>
      </c>
    </row>
    <row r="90" spans="1:17" x14ac:dyDescent="0.25">
      <c r="A90" s="1" t="s">
        <v>15</v>
      </c>
      <c r="B90" s="1" t="s">
        <v>95</v>
      </c>
      <c r="C90" s="1" t="s">
        <v>96</v>
      </c>
      <c r="D90" s="1" t="s">
        <v>97</v>
      </c>
      <c r="E90" s="1" t="s">
        <v>98</v>
      </c>
      <c r="F90" s="1" t="s">
        <v>99</v>
      </c>
      <c r="G90" s="1" t="s">
        <v>100</v>
      </c>
    </row>
    <row r="91" spans="1:17" x14ac:dyDescent="0.25">
      <c r="A91">
        <v>2019</v>
      </c>
      <c r="B91">
        <v>440</v>
      </c>
      <c r="C91">
        <v>8</v>
      </c>
      <c r="D91">
        <v>27</v>
      </c>
      <c r="E91">
        <v>0</v>
      </c>
      <c r="F91">
        <v>8</v>
      </c>
      <c r="G91">
        <v>0</v>
      </c>
    </row>
    <row r="92" spans="1:17" x14ac:dyDescent="0.25">
      <c r="A92">
        <v>2020</v>
      </c>
      <c r="B92">
        <v>480</v>
      </c>
      <c r="C92">
        <v>12</v>
      </c>
      <c r="D92">
        <v>14.41666666666667</v>
      </c>
      <c r="E92">
        <v>2</v>
      </c>
      <c r="F92">
        <v>10</v>
      </c>
      <c r="G92">
        <v>16.670000000000002</v>
      </c>
    </row>
    <row r="93" spans="1:17" x14ac:dyDescent="0.25">
      <c r="A93">
        <v>2021</v>
      </c>
      <c r="B93">
        <v>560</v>
      </c>
      <c r="C93">
        <v>12</v>
      </c>
      <c r="D93">
        <v>18.666666666666671</v>
      </c>
      <c r="E93">
        <v>3</v>
      </c>
      <c r="F93">
        <v>9</v>
      </c>
      <c r="G93">
        <v>25</v>
      </c>
    </row>
    <row r="94" spans="1:17" x14ac:dyDescent="0.25">
      <c r="A94">
        <v>2022</v>
      </c>
      <c r="B94">
        <v>480</v>
      </c>
      <c r="C94">
        <v>12</v>
      </c>
      <c r="D94">
        <v>10.16666666666667</v>
      </c>
      <c r="E94">
        <v>4</v>
      </c>
      <c r="F94">
        <v>8</v>
      </c>
      <c r="G94">
        <v>33.33</v>
      </c>
    </row>
    <row r="95" spans="1:17" x14ac:dyDescent="0.25">
      <c r="A95">
        <v>2023</v>
      </c>
      <c r="B95">
        <v>600</v>
      </c>
      <c r="C95">
        <v>12</v>
      </c>
      <c r="D95">
        <v>20.416666666666671</v>
      </c>
      <c r="E95">
        <v>3</v>
      </c>
      <c r="F95">
        <v>9</v>
      </c>
      <c r="G95">
        <v>25</v>
      </c>
    </row>
    <row r="96" spans="1:17" x14ac:dyDescent="0.25">
      <c r="A96">
        <v>2024</v>
      </c>
      <c r="B96">
        <v>520</v>
      </c>
      <c r="C96">
        <v>12</v>
      </c>
      <c r="D96">
        <v>14.91666666666667</v>
      </c>
      <c r="E96">
        <v>4</v>
      </c>
      <c r="F96">
        <v>8</v>
      </c>
      <c r="G96">
        <v>33.33</v>
      </c>
    </row>
    <row r="97" spans="1:7" x14ac:dyDescent="0.25">
      <c r="A97">
        <v>2025</v>
      </c>
      <c r="B97">
        <v>400</v>
      </c>
      <c r="C97">
        <v>10</v>
      </c>
      <c r="D97">
        <v>9.4</v>
      </c>
      <c r="E97">
        <v>5</v>
      </c>
      <c r="F97">
        <v>5</v>
      </c>
      <c r="G97">
        <v>50</v>
      </c>
    </row>
    <row r="98" spans="1:7" x14ac:dyDescent="0.25">
      <c r="A98" t="s">
        <v>101</v>
      </c>
      <c r="B98">
        <v>3480</v>
      </c>
      <c r="C98">
        <v>78</v>
      </c>
      <c r="D98">
        <v>16.064102564102569</v>
      </c>
      <c r="E98">
        <v>21</v>
      </c>
      <c r="F98">
        <v>57</v>
      </c>
      <c r="G98">
        <v>26.92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5" x14ac:dyDescent="0.25"/>
  <cols>
    <col min="1" max="1" width="25.7109375" customWidth="1"/>
    <col min="2" max="2" width="15.7109375" customWidth="1"/>
  </cols>
  <sheetData>
    <row r="1" spans="1:2" x14ac:dyDescent="0.25">
      <c r="A1" s="1" t="s">
        <v>102</v>
      </c>
      <c r="B1" s="1" t="s">
        <v>103</v>
      </c>
    </row>
    <row r="2" spans="1:2" x14ac:dyDescent="0.25">
      <c r="A2" t="s">
        <v>104</v>
      </c>
      <c r="B2" t="b">
        <v>0</v>
      </c>
    </row>
    <row r="3" spans="1:2" x14ac:dyDescent="0.25">
      <c r="A3" t="s">
        <v>105</v>
      </c>
      <c r="B3" t="b">
        <v>1</v>
      </c>
    </row>
    <row r="4" spans="1:2" x14ac:dyDescent="0.25">
      <c r="A4" t="s">
        <v>106</v>
      </c>
      <c r="B4">
        <v>2</v>
      </c>
    </row>
    <row r="5" spans="1:2" x14ac:dyDescent="0.25">
      <c r="A5" t="s">
        <v>107</v>
      </c>
      <c r="B5">
        <v>1500</v>
      </c>
    </row>
    <row r="6" spans="1:2" x14ac:dyDescent="0.25">
      <c r="A6" t="s">
        <v>108</v>
      </c>
      <c r="B6">
        <v>1500</v>
      </c>
    </row>
    <row r="8" spans="1:2" s="3" customFormat="1" x14ac:dyDescent="0.25">
      <c r="A8" s="3" t="s">
        <v>109</v>
      </c>
    </row>
    <row r="9" spans="1:2" x14ac:dyDescent="0.25">
      <c r="A9" t="s">
        <v>110</v>
      </c>
      <c r="B9">
        <v>1</v>
      </c>
    </row>
    <row r="10" spans="1:2" x14ac:dyDescent="0.25">
      <c r="A10" t="s">
        <v>111</v>
      </c>
      <c r="B10">
        <v>54</v>
      </c>
    </row>
    <row r="11" spans="1:2" x14ac:dyDescent="0.25">
      <c r="A11" t="s">
        <v>112</v>
      </c>
      <c r="B11">
        <v>17.14</v>
      </c>
    </row>
    <row r="12" spans="1:2" x14ac:dyDescent="0.25">
      <c r="A12" t="s">
        <v>113</v>
      </c>
      <c r="B12">
        <v>13</v>
      </c>
    </row>
    <row r="13" spans="1:2" x14ac:dyDescent="0.25">
      <c r="A13" t="s">
        <v>114</v>
      </c>
      <c r="B13">
        <v>12.97</v>
      </c>
    </row>
    <row r="14" spans="1:2" x14ac:dyDescent="0.25">
      <c r="A14" t="s">
        <v>115</v>
      </c>
      <c r="B14">
        <v>8</v>
      </c>
    </row>
    <row r="15" spans="1:2" x14ac:dyDescent="0.25">
      <c r="A15" t="s">
        <v>116</v>
      </c>
      <c r="B15">
        <v>78</v>
      </c>
    </row>
    <row r="16" spans="1:2" x14ac:dyDescent="0.25">
      <c r="A16" t="s">
        <v>117</v>
      </c>
      <c r="B16">
        <v>78</v>
      </c>
    </row>
    <row r="17" spans="1:2" x14ac:dyDescent="0.25">
      <c r="A17" t="s">
        <v>118</v>
      </c>
      <c r="B17">
        <v>57</v>
      </c>
    </row>
    <row r="18" spans="1:2" x14ac:dyDescent="0.25">
      <c r="A18" t="s">
        <v>119</v>
      </c>
      <c r="B18">
        <v>21</v>
      </c>
    </row>
    <row r="19" spans="1:2" x14ac:dyDescent="0.25">
      <c r="A19" t="s">
        <v>120</v>
      </c>
      <c r="B19" t="s">
        <v>136</v>
      </c>
    </row>
    <row r="20" spans="1:2" x14ac:dyDescent="0.25">
      <c r="A20" t="s">
        <v>121</v>
      </c>
      <c r="B20" t="s">
        <v>137</v>
      </c>
    </row>
    <row r="22" spans="1:2" s="3" customFormat="1" x14ac:dyDescent="0.25">
      <c r="A22" s="3" t="s">
        <v>122</v>
      </c>
    </row>
    <row r="23" spans="1:2" x14ac:dyDescent="0.25">
      <c r="A23" t="s">
        <v>123</v>
      </c>
      <c r="B23">
        <v>2</v>
      </c>
    </row>
    <row r="24" spans="1:2" x14ac:dyDescent="0.25">
      <c r="A24" t="s">
        <v>124</v>
      </c>
      <c r="B24">
        <v>33</v>
      </c>
    </row>
    <row r="25" spans="1:2" x14ac:dyDescent="0.25">
      <c r="A25" t="s">
        <v>125</v>
      </c>
      <c r="B25">
        <v>13.1</v>
      </c>
    </row>
    <row r="26" spans="1:2" x14ac:dyDescent="0.25">
      <c r="A26" t="s">
        <v>126</v>
      </c>
      <c r="B26">
        <v>12</v>
      </c>
    </row>
    <row r="27" spans="1:2" x14ac:dyDescent="0.25">
      <c r="A27" t="s">
        <v>127</v>
      </c>
      <c r="B27">
        <v>4</v>
      </c>
    </row>
    <row r="29" spans="1:2" s="3" customFormat="1" x14ac:dyDescent="0.25">
      <c r="A29" s="3" t="s">
        <v>128</v>
      </c>
    </row>
    <row r="30" spans="1:2" x14ac:dyDescent="0.25">
      <c r="A30" t="s">
        <v>129</v>
      </c>
      <c r="B30">
        <v>595.79487179487182</v>
      </c>
    </row>
    <row r="31" spans="1:2" x14ac:dyDescent="0.25">
      <c r="A31" t="s">
        <v>130</v>
      </c>
      <c r="B31">
        <v>260</v>
      </c>
    </row>
    <row r="32" spans="1:2" x14ac:dyDescent="0.25">
      <c r="A32" t="s">
        <v>131</v>
      </c>
      <c r="B32" t="s">
        <v>138</v>
      </c>
    </row>
    <row r="33" spans="1:2" x14ac:dyDescent="0.25">
      <c r="A33" t="s">
        <v>132</v>
      </c>
      <c r="B33" t="s">
        <v>139</v>
      </c>
    </row>
    <row r="35" spans="1:2" x14ac:dyDescent="0.25">
      <c r="A35" t="s">
        <v>133</v>
      </c>
      <c r="B35">
        <v>39.719658119658121</v>
      </c>
    </row>
    <row r="36" spans="1:2" x14ac:dyDescent="0.25">
      <c r="A36" t="s">
        <v>134</v>
      </c>
      <c r="B36">
        <v>17.511111111111109</v>
      </c>
    </row>
    <row r="37" spans="1:2" x14ac:dyDescent="0.25">
      <c r="A37" t="s">
        <v>135</v>
      </c>
      <c r="B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/>
  </sheetViews>
  <sheetFormatPr defaultRowHeight="15" x14ac:dyDescent="0.25"/>
  <sheetData>
    <row r="1" spans="1:2" x14ac:dyDescent="0.25">
      <c r="A1" s="1" t="s">
        <v>140</v>
      </c>
      <c r="B1" s="1" t="s">
        <v>141</v>
      </c>
    </row>
    <row r="2" spans="1:2" x14ac:dyDescent="0.25">
      <c r="A2">
        <v>1</v>
      </c>
      <c r="B2">
        <v>1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3</v>
      </c>
    </row>
    <row r="5" spans="1:2" x14ac:dyDescent="0.25">
      <c r="A5">
        <v>5</v>
      </c>
      <c r="B5">
        <v>3</v>
      </c>
    </row>
    <row r="6" spans="1:2" x14ac:dyDescent="0.25">
      <c r="A6">
        <v>6</v>
      </c>
      <c r="B6">
        <v>2</v>
      </c>
    </row>
    <row r="7" spans="1:2" x14ac:dyDescent="0.25">
      <c r="A7">
        <v>7</v>
      </c>
      <c r="B7">
        <v>1</v>
      </c>
    </row>
    <row r="8" spans="1:2" x14ac:dyDescent="0.25">
      <c r="A8">
        <v>8</v>
      </c>
      <c r="B8">
        <v>5</v>
      </c>
    </row>
    <row r="9" spans="1:2" x14ac:dyDescent="0.25">
      <c r="A9">
        <v>9</v>
      </c>
      <c r="B9">
        <v>4</v>
      </c>
    </row>
    <row r="10" spans="1:2" x14ac:dyDescent="0.25">
      <c r="A10">
        <v>10</v>
      </c>
      <c r="B10">
        <v>2</v>
      </c>
    </row>
    <row r="11" spans="1:2" x14ac:dyDescent="0.25">
      <c r="A11">
        <v>11</v>
      </c>
      <c r="B11">
        <v>2</v>
      </c>
    </row>
    <row r="12" spans="1:2" x14ac:dyDescent="0.25">
      <c r="A12">
        <v>12</v>
      </c>
      <c r="B12">
        <v>2</v>
      </c>
    </row>
    <row r="13" spans="1:2" x14ac:dyDescent="0.25">
      <c r="A13">
        <v>13</v>
      </c>
      <c r="B13">
        <v>1</v>
      </c>
    </row>
    <row r="14" spans="1:2" x14ac:dyDescent="0.25">
      <c r="A14">
        <v>14</v>
      </c>
      <c r="B14">
        <v>1</v>
      </c>
    </row>
    <row r="15" spans="1:2" x14ac:dyDescent="0.25">
      <c r="A15">
        <v>15</v>
      </c>
      <c r="B15">
        <v>2</v>
      </c>
    </row>
    <row r="16" spans="1:2" x14ac:dyDescent="0.25">
      <c r="A16">
        <v>17</v>
      </c>
      <c r="B16">
        <v>3</v>
      </c>
    </row>
    <row r="17" spans="1:2" x14ac:dyDescent="0.25">
      <c r="A17">
        <v>18</v>
      </c>
      <c r="B17">
        <v>1</v>
      </c>
    </row>
    <row r="18" spans="1:2" x14ac:dyDescent="0.25">
      <c r="A18">
        <v>19</v>
      </c>
      <c r="B18">
        <v>1</v>
      </c>
    </row>
    <row r="19" spans="1:2" x14ac:dyDescent="0.25">
      <c r="A19">
        <v>22</v>
      </c>
      <c r="B19">
        <v>2</v>
      </c>
    </row>
    <row r="20" spans="1:2" x14ac:dyDescent="0.25">
      <c r="A20">
        <v>23</v>
      </c>
      <c r="B20">
        <v>1</v>
      </c>
    </row>
    <row r="21" spans="1:2" x14ac:dyDescent="0.25">
      <c r="A21">
        <v>24</v>
      </c>
      <c r="B21">
        <v>2</v>
      </c>
    </row>
    <row r="22" spans="1:2" x14ac:dyDescent="0.25">
      <c r="A22">
        <v>25</v>
      </c>
      <c r="B22">
        <v>2</v>
      </c>
    </row>
    <row r="23" spans="1:2" x14ac:dyDescent="0.25">
      <c r="A23">
        <v>26</v>
      </c>
      <c r="B23">
        <v>2</v>
      </c>
    </row>
    <row r="24" spans="1:2" x14ac:dyDescent="0.25">
      <c r="A24">
        <v>27</v>
      </c>
      <c r="B24">
        <v>2</v>
      </c>
    </row>
    <row r="25" spans="1:2" x14ac:dyDescent="0.25">
      <c r="A25">
        <v>28</v>
      </c>
      <c r="B25">
        <v>1</v>
      </c>
    </row>
    <row r="26" spans="1:2" x14ac:dyDescent="0.25">
      <c r="A26">
        <v>31</v>
      </c>
      <c r="B26">
        <v>2</v>
      </c>
    </row>
    <row r="27" spans="1:2" x14ac:dyDescent="0.25">
      <c r="A27">
        <v>34</v>
      </c>
      <c r="B27">
        <v>1</v>
      </c>
    </row>
    <row r="28" spans="1:2" x14ac:dyDescent="0.25">
      <c r="A28">
        <v>40</v>
      </c>
      <c r="B28">
        <v>1</v>
      </c>
    </row>
    <row r="29" spans="1:2" x14ac:dyDescent="0.25">
      <c r="A29">
        <v>43</v>
      </c>
      <c r="B29">
        <v>1</v>
      </c>
    </row>
    <row r="30" spans="1:2" x14ac:dyDescent="0.25">
      <c r="A30">
        <v>48</v>
      </c>
      <c r="B30">
        <v>1</v>
      </c>
    </row>
    <row r="31" spans="1:2" x14ac:dyDescent="0.25">
      <c r="A31">
        <v>54</v>
      </c>
      <c r="B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workbookViewId="0"/>
  </sheetViews>
  <sheetFormatPr defaultRowHeight="15" x14ac:dyDescent="0.25"/>
  <cols>
    <col min="1" max="5" width="15.7109375" customWidth="1"/>
  </cols>
  <sheetData>
    <row r="1" spans="1:6" x14ac:dyDescent="0.25">
      <c r="A1" s="1" t="s">
        <v>10</v>
      </c>
      <c r="B1" s="1" t="s">
        <v>98</v>
      </c>
      <c r="C1" s="1" t="s">
        <v>142</v>
      </c>
      <c r="D1" s="1" t="s">
        <v>96</v>
      </c>
      <c r="E1" s="1" t="s">
        <v>100</v>
      </c>
      <c r="F1" s="1" t="s">
        <v>99</v>
      </c>
    </row>
    <row r="2" spans="1:6" x14ac:dyDescent="0.25">
      <c r="A2" t="s">
        <v>17</v>
      </c>
      <c r="B2">
        <v>0</v>
      </c>
      <c r="C2">
        <v>1</v>
      </c>
      <c r="D2">
        <v>1</v>
      </c>
      <c r="E2">
        <v>0</v>
      </c>
      <c r="F2">
        <v>1</v>
      </c>
    </row>
    <row r="3" spans="1:6" x14ac:dyDescent="0.25">
      <c r="A3" t="s">
        <v>18</v>
      </c>
      <c r="B3">
        <v>0</v>
      </c>
      <c r="C3">
        <v>1</v>
      </c>
      <c r="D3">
        <v>1</v>
      </c>
      <c r="E3">
        <v>0</v>
      </c>
      <c r="F3">
        <v>1</v>
      </c>
    </row>
    <row r="4" spans="1:6" x14ac:dyDescent="0.25">
      <c r="A4" t="s">
        <v>19</v>
      </c>
      <c r="B4">
        <v>0</v>
      </c>
      <c r="C4">
        <v>1</v>
      </c>
      <c r="D4">
        <v>1</v>
      </c>
      <c r="E4">
        <v>0</v>
      </c>
      <c r="F4">
        <v>1</v>
      </c>
    </row>
    <row r="5" spans="1:6" x14ac:dyDescent="0.25">
      <c r="A5" t="s">
        <v>20</v>
      </c>
      <c r="B5">
        <v>0</v>
      </c>
      <c r="C5">
        <v>1</v>
      </c>
      <c r="D5">
        <v>1</v>
      </c>
      <c r="E5">
        <v>0</v>
      </c>
      <c r="F5">
        <v>1</v>
      </c>
    </row>
    <row r="6" spans="1:6" x14ac:dyDescent="0.25">
      <c r="A6" t="s">
        <v>21</v>
      </c>
      <c r="B6">
        <v>0</v>
      </c>
      <c r="C6">
        <v>1</v>
      </c>
      <c r="D6">
        <v>1</v>
      </c>
      <c r="E6">
        <v>0</v>
      </c>
      <c r="F6">
        <v>1</v>
      </c>
    </row>
    <row r="7" spans="1:6" x14ac:dyDescent="0.25">
      <c r="A7" t="s">
        <v>22</v>
      </c>
      <c r="B7">
        <v>0</v>
      </c>
      <c r="C7">
        <v>1</v>
      </c>
      <c r="D7">
        <v>1</v>
      </c>
      <c r="E7">
        <v>0</v>
      </c>
      <c r="F7">
        <v>1</v>
      </c>
    </row>
    <row r="8" spans="1:6" x14ac:dyDescent="0.25">
      <c r="A8" t="s">
        <v>23</v>
      </c>
      <c r="B8">
        <v>0</v>
      </c>
      <c r="C8">
        <v>1</v>
      </c>
      <c r="D8">
        <v>1</v>
      </c>
      <c r="E8">
        <v>0</v>
      </c>
      <c r="F8">
        <v>1</v>
      </c>
    </row>
    <row r="9" spans="1:6" x14ac:dyDescent="0.25">
      <c r="A9" t="s">
        <v>24</v>
      </c>
      <c r="B9">
        <v>0</v>
      </c>
      <c r="C9">
        <v>1</v>
      </c>
      <c r="D9">
        <v>1</v>
      </c>
      <c r="E9">
        <v>0</v>
      </c>
      <c r="F9">
        <v>1</v>
      </c>
    </row>
    <row r="10" spans="1:6" x14ac:dyDescent="0.25">
      <c r="A10" t="s">
        <v>25</v>
      </c>
      <c r="B10">
        <v>0</v>
      </c>
      <c r="C10">
        <v>1</v>
      </c>
      <c r="D10">
        <v>1</v>
      </c>
      <c r="E10">
        <v>0</v>
      </c>
      <c r="F10">
        <v>1</v>
      </c>
    </row>
    <row r="11" spans="1:6" x14ac:dyDescent="0.25">
      <c r="A11" t="s">
        <v>26</v>
      </c>
      <c r="B11">
        <v>1</v>
      </c>
      <c r="C11">
        <v>1</v>
      </c>
      <c r="D11">
        <v>1</v>
      </c>
      <c r="E11">
        <v>100</v>
      </c>
      <c r="F11">
        <v>0</v>
      </c>
    </row>
    <row r="12" spans="1:6" x14ac:dyDescent="0.25">
      <c r="A12" t="s">
        <v>27</v>
      </c>
      <c r="B12">
        <v>1</v>
      </c>
      <c r="C12">
        <v>1</v>
      </c>
      <c r="D12">
        <v>1</v>
      </c>
      <c r="E12">
        <v>100</v>
      </c>
      <c r="F12">
        <v>0</v>
      </c>
    </row>
    <row r="13" spans="1:6" x14ac:dyDescent="0.25">
      <c r="A13" t="s">
        <v>28</v>
      </c>
      <c r="B13">
        <v>0</v>
      </c>
      <c r="C13">
        <v>1</v>
      </c>
      <c r="D13">
        <v>1</v>
      </c>
      <c r="E13">
        <v>0</v>
      </c>
      <c r="F13">
        <v>1</v>
      </c>
    </row>
    <row r="14" spans="1:6" x14ac:dyDescent="0.25">
      <c r="A14" t="s">
        <v>29</v>
      </c>
      <c r="B14">
        <v>0</v>
      </c>
      <c r="C14">
        <v>1</v>
      </c>
      <c r="D14">
        <v>1</v>
      </c>
      <c r="E14">
        <v>0</v>
      </c>
      <c r="F14">
        <v>1</v>
      </c>
    </row>
    <row r="15" spans="1:6" x14ac:dyDescent="0.25">
      <c r="A15" t="s">
        <v>30</v>
      </c>
      <c r="B15">
        <v>0</v>
      </c>
      <c r="C15">
        <v>1</v>
      </c>
      <c r="D15">
        <v>1</v>
      </c>
      <c r="E15">
        <v>0</v>
      </c>
      <c r="F15">
        <v>1</v>
      </c>
    </row>
    <row r="16" spans="1:6" x14ac:dyDescent="0.25">
      <c r="A16" t="s">
        <v>31</v>
      </c>
      <c r="B16">
        <v>0</v>
      </c>
      <c r="C16">
        <v>1</v>
      </c>
      <c r="D16">
        <v>1</v>
      </c>
      <c r="E16">
        <v>0</v>
      </c>
      <c r="F16">
        <v>1</v>
      </c>
    </row>
    <row r="17" spans="1:6" x14ac:dyDescent="0.25">
      <c r="A17" t="s">
        <v>32</v>
      </c>
      <c r="B17">
        <v>0</v>
      </c>
      <c r="C17">
        <v>1</v>
      </c>
      <c r="D17">
        <v>1</v>
      </c>
      <c r="E17">
        <v>0</v>
      </c>
      <c r="F17">
        <v>1</v>
      </c>
    </row>
    <row r="18" spans="1:6" x14ac:dyDescent="0.25">
      <c r="A18" t="s">
        <v>33</v>
      </c>
      <c r="B18">
        <v>0</v>
      </c>
      <c r="C18">
        <v>1</v>
      </c>
      <c r="D18">
        <v>1</v>
      </c>
      <c r="E18">
        <v>0</v>
      </c>
      <c r="F18">
        <v>1</v>
      </c>
    </row>
    <row r="19" spans="1:6" x14ac:dyDescent="0.25">
      <c r="A19" t="s">
        <v>34</v>
      </c>
      <c r="B19">
        <v>0</v>
      </c>
      <c r="C19">
        <v>1</v>
      </c>
      <c r="D19">
        <v>1</v>
      </c>
      <c r="E19">
        <v>0</v>
      </c>
      <c r="F19">
        <v>1</v>
      </c>
    </row>
    <row r="20" spans="1:6" x14ac:dyDescent="0.25">
      <c r="A20" t="s">
        <v>35</v>
      </c>
      <c r="B20">
        <v>0</v>
      </c>
      <c r="C20">
        <v>1</v>
      </c>
      <c r="D20">
        <v>1</v>
      </c>
      <c r="E20">
        <v>0</v>
      </c>
      <c r="F20">
        <v>1</v>
      </c>
    </row>
    <row r="21" spans="1:6" x14ac:dyDescent="0.25">
      <c r="A21" t="s">
        <v>36</v>
      </c>
      <c r="B21">
        <v>0</v>
      </c>
      <c r="C21">
        <v>1</v>
      </c>
      <c r="D21">
        <v>1</v>
      </c>
      <c r="E21">
        <v>0</v>
      </c>
      <c r="F21">
        <v>1</v>
      </c>
    </row>
    <row r="22" spans="1:6" x14ac:dyDescent="0.25">
      <c r="A22" t="s">
        <v>37</v>
      </c>
      <c r="B22">
        <v>1</v>
      </c>
      <c r="C22">
        <v>1</v>
      </c>
      <c r="D22">
        <v>1</v>
      </c>
      <c r="E22">
        <v>100</v>
      </c>
      <c r="F22">
        <v>0</v>
      </c>
    </row>
    <row r="23" spans="1:6" x14ac:dyDescent="0.25">
      <c r="A23" t="s">
        <v>38</v>
      </c>
      <c r="B23">
        <v>0</v>
      </c>
      <c r="C23">
        <v>1</v>
      </c>
      <c r="D23">
        <v>1</v>
      </c>
      <c r="E23">
        <v>0</v>
      </c>
      <c r="F23">
        <v>1</v>
      </c>
    </row>
    <row r="24" spans="1:6" x14ac:dyDescent="0.25">
      <c r="A24" t="s">
        <v>39</v>
      </c>
      <c r="B24">
        <v>0</v>
      </c>
      <c r="C24">
        <v>1</v>
      </c>
      <c r="D24">
        <v>1</v>
      </c>
      <c r="E24">
        <v>0</v>
      </c>
      <c r="F24">
        <v>1</v>
      </c>
    </row>
    <row r="25" spans="1:6" x14ac:dyDescent="0.25">
      <c r="A25" t="s">
        <v>40</v>
      </c>
      <c r="B25">
        <v>0</v>
      </c>
      <c r="C25">
        <v>1</v>
      </c>
      <c r="D25">
        <v>1</v>
      </c>
      <c r="E25">
        <v>0</v>
      </c>
      <c r="F25">
        <v>1</v>
      </c>
    </row>
    <row r="26" spans="1:6" x14ac:dyDescent="0.25">
      <c r="A26" t="s">
        <v>41</v>
      </c>
      <c r="B26">
        <v>1</v>
      </c>
      <c r="C26">
        <v>1</v>
      </c>
      <c r="D26">
        <v>1</v>
      </c>
      <c r="E26">
        <v>100</v>
      </c>
      <c r="F26">
        <v>0</v>
      </c>
    </row>
    <row r="27" spans="1:6" x14ac:dyDescent="0.25">
      <c r="A27" t="s">
        <v>42</v>
      </c>
      <c r="B27">
        <v>0</v>
      </c>
      <c r="C27">
        <v>1</v>
      </c>
      <c r="D27">
        <v>1</v>
      </c>
      <c r="E27">
        <v>0</v>
      </c>
      <c r="F27">
        <v>1</v>
      </c>
    </row>
    <row r="28" spans="1:6" x14ac:dyDescent="0.25">
      <c r="A28" t="s">
        <v>43</v>
      </c>
      <c r="B28">
        <v>0</v>
      </c>
      <c r="C28">
        <v>1</v>
      </c>
      <c r="D28">
        <v>1</v>
      </c>
      <c r="E28">
        <v>0</v>
      </c>
      <c r="F28">
        <v>1</v>
      </c>
    </row>
    <row r="29" spans="1:6" x14ac:dyDescent="0.25">
      <c r="A29" t="s">
        <v>44</v>
      </c>
      <c r="B29">
        <v>0</v>
      </c>
      <c r="C29">
        <v>1</v>
      </c>
      <c r="D29">
        <v>1</v>
      </c>
      <c r="E29">
        <v>0</v>
      </c>
      <c r="F29">
        <v>1</v>
      </c>
    </row>
    <row r="30" spans="1:6" x14ac:dyDescent="0.25">
      <c r="A30" t="s">
        <v>45</v>
      </c>
      <c r="B30">
        <v>0</v>
      </c>
      <c r="C30">
        <v>1</v>
      </c>
      <c r="D30">
        <v>1</v>
      </c>
      <c r="E30">
        <v>0</v>
      </c>
      <c r="F30">
        <v>1</v>
      </c>
    </row>
    <row r="31" spans="1:6" x14ac:dyDescent="0.25">
      <c r="A31" t="s">
        <v>46</v>
      </c>
      <c r="B31">
        <v>0</v>
      </c>
      <c r="C31">
        <v>1</v>
      </c>
      <c r="D31">
        <v>1</v>
      </c>
      <c r="E31">
        <v>0</v>
      </c>
      <c r="F31">
        <v>1</v>
      </c>
    </row>
    <row r="32" spans="1:6" x14ac:dyDescent="0.25">
      <c r="A32" t="s">
        <v>47</v>
      </c>
      <c r="B32">
        <v>0</v>
      </c>
      <c r="C32">
        <v>1</v>
      </c>
      <c r="D32">
        <v>1</v>
      </c>
      <c r="E32">
        <v>0</v>
      </c>
      <c r="F32">
        <v>1</v>
      </c>
    </row>
    <row r="33" spans="1:6" x14ac:dyDescent="0.25">
      <c r="A33" t="s">
        <v>48</v>
      </c>
      <c r="B33">
        <v>1</v>
      </c>
      <c r="C33">
        <v>1</v>
      </c>
      <c r="D33">
        <v>1</v>
      </c>
      <c r="E33">
        <v>100</v>
      </c>
      <c r="F33">
        <v>0</v>
      </c>
    </row>
    <row r="34" spans="1:6" x14ac:dyDescent="0.25">
      <c r="A34" t="s">
        <v>49</v>
      </c>
      <c r="B34">
        <v>1</v>
      </c>
      <c r="C34">
        <v>1</v>
      </c>
      <c r="D34">
        <v>1</v>
      </c>
      <c r="E34">
        <v>100</v>
      </c>
      <c r="F34">
        <v>0</v>
      </c>
    </row>
    <row r="35" spans="1:6" x14ac:dyDescent="0.25">
      <c r="A35" t="s">
        <v>50</v>
      </c>
      <c r="B35">
        <v>0</v>
      </c>
      <c r="C35">
        <v>1</v>
      </c>
      <c r="D35">
        <v>1</v>
      </c>
      <c r="E35">
        <v>0</v>
      </c>
      <c r="F35">
        <v>1</v>
      </c>
    </row>
    <row r="36" spans="1:6" x14ac:dyDescent="0.25">
      <c r="A36" t="s">
        <v>51</v>
      </c>
      <c r="B36">
        <v>1</v>
      </c>
      <c r="C36">
        <v>1</v>
      </c>
      <c r="D36">
        <v>1</v>
      </c>
      <c r="E36">
        <v>100</v>
      </c>
      <c r="F36">
        <v>0</v>
      </c>
    </row>
    <row r="37" spans="1:6" x14ac:dyDescent="0.25">
      <c r="A37" t="s">
        <v>52</v>
      </c>
      <c r="B37">
        <v>1</v>
      </c>
      <c r="C37">
        <v>1</v>
      </c>
      <c r="D37">
        <v>1</v>
      </c>
      <c r="E37">
        <v>100</v>
      </c>
      <c r="F37">
        <v>0</v>
      </c>
    </row>
    <row r="38" spans="1:6" x14ac:dyDescent="0.25">
      <c r="A38" t="s">
        <v>53</v>
      </c>
      <c r="B38">
        <v>0</v>
      </c>
      <c r="C38">
        <v>1</v>
      </c>
      <c r="D38">
        <v>1</v>
      </c>
      <c r="E38">
        <v>0</v>
      </c>
      <c r="F38">
        <v>1</v>
      </c>
    </row>
    <row r="39" spans="1:6" x14ac:dyDescent="0.25">
      <c r="A39" t="s">
        <v>54</v>
      </c>
      <c r="B39">
        <v>1</v>
      </c>
      <c r="C39">
        <v>1</v>
      </c>
      <c r="D39">
        <v>1</v>
      </c>
      <c r="E39">
        <v>100</v>
      </c>
      <c r="F39">
        <v>0</v>
      </c>
    </row>
    <row r="40" spans="1:6" x14ac:dyDescent="0.25">
      <c r="A40" t="s">
        <v>55</v>
      </c>
      <c r="B40">
        <v>0</v>
      </c>
      <c r="C40">
        <v>1</v>
      </c>
      <c r="D40">
        <v>1</v>
      </c>
      <c r="E40">
        <v>0</v>
      </c>
      <c r="F40">
        <v>1</v>
      </c>
    </row>
    <row r="41" spans="1:6" x14ac:dyDescent="0.25">
      <c r="A41" t="s">
        <v>56</v>
      </c>
      <c r="B41">
        <v>0</v>
      </c>
      <c r="C41">
        <v>1</v>
      </c>
      <c r="D41">
        <v>1</v>
      </c>
      <c r="E41">
        <v>0</v>
      </c>
      <c r="F41">
        <v>1</v>
      </c>
    </row>
    <row r="42" spans="1:6" x14ac:dyDescent="0.25">
      <c r="A42" t="s">
        <v>57</v>
      </c>
      <c r="B42">
        <v>0</v>
      </c>
      <c r="C42">
        <v>1</v>
      </c>
      <c r="D42">
        <v>1</v>
      </c>
      <c r="E42">
        <v>0</v>
      </c>
      <c r="F42">
        <v>1</v>
      </c>
    </row>
    <row r="43" spans="1:6" x14ac:dyDescent="0.25">
      <c r="A43" t="s">
        <v>58</v>
      </c>
      <c r="B43">
        <v>0</v>
      </c>
      <c r="C43">
        <v>1</v>
      </c>
      <c r="D43">
        <v>1</v>
      </c>
      <c r="E43">
        <v>0</v>
      </c>
      <c r="F43">
        <v>1</v>
      </c>
    </row>
    <row r="44" spans="1:6" x14ac:dyDescent="0.25">
      <c r="A44" t="s">
        <v>59</v>
      </c>
      <c r="B44">
        <v>0</v>
      </c>
      <c r="C44">
        <v>1</v>
      </c>
      <c r="D44">
        <v>1</v>
      </c>
      <c r="E44">
        <v>0</v>
      </c>
      <c r="F44">
        <v>1</v>
      </c>
    </row>
    <row r="45" spans="1:6" x14ac:dyDescent="0.25">
      <c r="A45" t="s">
        <v>60</v>
      </c>
      <c r="B45">
        <v>0</v>
      </c>
      <c r="C45">
        <v>1</v>
      </c>
      <c r="D45">
        <v>1</v>
      </c>
      <c r="E45">
        <v>0</v>
      </c>
      <c r="F45">
        <v>1</v>
      </c>
    </row>
    <row r="46" spans="1:6" x14ac:dyDescent="0.25">
      <c r="A46" t="s">
        <v>61</v>
      </c>
      <c r="B46">
        <v>0</v>
      </c>
      <c r="C46">
        <v>1</v>
      </c>
      <c r="D46">
        <v>1</v>
      </c>
      <c r="E46">
        <v>0</v>
      </c>
      <c r="F46">
        <v>1</v>
      </c>
    </row>
    <row r="47" spans="1:6" x14ac:dyDescent="0.25">
      <c r="A47" t="s">
        <v>62</v>
      </c>
      <c r="B47">
        <v>0</v>
      </c>
      <c r="C47">
        <v>1</v>
      </c>
      <c r="D47">
        <v>1</v>
      </c>
      <c r="E47">
        <v>0</v>
      </c>
      <c r="F47">
        <v>1</v>
      </c>
    </row>
    <row r="48" spans="1:6" x14ac:dyDescent="0.25">
      <c r="A48" t="s">
        <v>63</v>
      </c>
      <c r="B48">
        <v>0</v>
      </c>
      <c r="C48">
        <v>1</v>
      </c>
      <c r="D48">
        <v>1</v>
      </c>
      <c r="E48">
        <v>0</v>
      </c>
      <c r="F48">
        <v>1</v>
      </c>
    </row>
    <row r="49" spans="1:6" x14ac:dyDescent="0.25">
      <c r="A49" t="s">
        <v>64</v>
      </c>
      <c r="B49">
        <v>1</v>
      </c>
      <c r="C49">
        <v>1</v>
      </c>
      <c r="D49">
        <v>1</v>
      </c>
      <c r="E49">
        <v>100</v>
      </c>
      <c r="F49">
        <v>0</v>
      </c>
    </row>
    <row r="50" spans="1:6" x14ac:dyDescent="0.25">
      <c r="A50" t="s">
        <v>65</v>
      </c>
      <c r="B50">
        <v>0</v>
      </c>
      <c r="C50">
        <v>1</v>
      </c>
      <c r="D50">
        <v>1</v>
      </c>
      <c r="E50">
        <v>0</v>
      </c>
      <c r="F50">
        <v>1</v>
      </c>
    </row>
    <row r="51" spans="1:6" x14ac:dyDescent="0.25">
      <c r="A51" t="s">
        <v>66</v>
      </c>
      <c r="B51">
        <v>0</v>
      </c>
      <c r="C51">
        <v>1</v>
      </c>
      <c r="D51">
        <v>1</v>
      </c>
      <c r="E51">
        <v>0</v>
      </c>
      <c r="F51">
        <v>1</v>
      </c>
    </row>
    <row r="52" spans="1:6" x14ac:dyDescent="0.25">
      <c r="A52" t="s">
        <v>67</v>
      </c>
      <c r="B52">
        <v>0</v>
      </c>
      <c r="C52">
        <v>1</v>
      </c>
      <c r="D52">
        <v>1</v>
      </c>
      <c r="E52">
        <v>0</v>
      </c>
      <c r="F52">
        <v>1</v>
      </c>
    </row>
    <row r="53" spans="1:6" x14ac:dyDescent="0.25">
      <c r="A53" t="s">
        <v>68</v>
      </c>
      <c r="B53">
        <v>0</v>
      </c>
      <c r="C53">
        <v>1</v>
      </c>
      <c r="D53">
        <v>1</v>
      </c>
      <c r="E53">
        <v>0</v>
      </c>
      <c r="F53">
        <v>1</v>
      </c>
    </row>
    <row r="54" spans="1:6" x14ac:dyDescent="0.25">
      <c r="A54" t="s">
        <v>69</v>
      </c>
      <c r="B54">
        <v>1</v>
      </c>
      <c r="C54">
        <v>1</v>
      </c>
      <c r="D54">
        <v>1</v>
      </c>
      <c r="E54">
        <v>100</v>
      </c>
      <c r="F54">
        <v>0</v>
      </c>
    </row>
    <row r="55" spans="1:6" x14ac:dyDescent="0.25">
      <c r="A55" t="s">
        <v>70</v>
      </c>
      <c r="B55">
        <v>1</v>
      </c>
      <c r="C55">
        <v>1</v>
      </c>
      <c r="D55">
        <v>1</v>
      </c>
      <c r="E55">
        <v>100</v>
      </c>
      <c r="F55">
        <v>0</v>
      </c>
    </row>
    <row r="56" spans="1:6" x14ac:dyDescent="0.25">
      <c r="A56" t="s">
        <v>71</v>
      </c>
      <c r="B56">
        <v>0</v>
      </c>
      <c r="C56">
        <v>1</v>
      </c>
      <c r="D56">
        <v>1</v>
      </c>
      <c r="E56">
        <v>0</v>
      </c>
      <c r="F56">
        <v>1</v>
      </c>
    </row>
    <row r="57" spans="1:6" x14ac:dyDescent="0.25">
      <c r="A57" t="s">
        <v>72</v>
      </c>
      <c r="B57">
        <v>0</v>
      </c>
      <c r="C57">
        <v>1</v>
      </c>
      <c r="D57">
        <v>1</v>
      </c>
      <c r="E57">
        <v>0</v>
      </c>
      <c r="F57">
        <v>1</v>
      </c>
    </row>
    <row r="58" spans="1:6" x14ac:dyDescent="0.25">
      <c r="A58" t="s">
        <v>73</v>
      </c>
      <c r="B58">
        <v>0</v>
      </c>
      <c r="C58">
        <v>1</v>
      </c>
      <c r="D58">
        <v>1</v>
      </c>
      <c r="E58">
        <v>0</v>
      </c>
      <c r="F58">
        <v>1</v>
      </c>
    </row>
    <row r="59" spans="1:6" x14ac:dyDescent="0.25">
      <c r="A59" t="s">
        <v>74</v>
      </c>
      <c r="B59">
        <v>1</v>
      </c>
      <c r="C59">
        <v>1</v>
      </c>
      <c r="D59">
        <v>1</v>
      </c>
      <c r="E59">
        <v>100</v>
      </c>
      <c r="F59">
        <v>0</v>
      </c>
    </row>
    <row r="60" spans="1:6" x14ac:dyDescent="0.25">
      <c r="A60" t="s">
        <v>75</v>
      </c>
      <c r="B60">
        <v>1</v>
      </c>
      <c r="C60">
        <v>1</v>
      </c>
      <c r="D60">
        <v>1</v>
      </c>
      <c r="E60">
        <v>100</v>
      </c>
      <c r="F60">
        <v>0</v>
      </c>
    </row>
    <row r="61" spans="1:6" x14ac:dyDescent="0.25">
      <c r="A61" t="s">
        <v>76</v>
      </c>
      <c r="B61">
        <v>1</v>
      </c>
      <c r="C61">
        <v>1</v>
      </c>
      <c r="D61">
        <v>1</v>
      </c>
      <c r="E61">
        <v>100</v>
      </c>
      <c r="F61">
        <v>0</v>
      </c>
    </row>
    <row r="62" spans="1:6" x14ac:dyDescent="0.25">
      <c r="A62" t="s">
        <v>77</v>
      </c>
      <c r="B62">
        <v>0</v>
      </c>
      <c r="C62">
        <v>1</v>
      </c>
      <c r="D62">
        <v>1</v>
      </c>
      <c r="E62">
        <v>0</v>
      </c>
      <c r="F62">
        <v>1</v>
      </c>
    </row>
    <row r="63" spans="1:6" x14ac:dyDescent="0.25">
      <c r="A63" t="s">
        <v>78</v>
      </c>
      <c r="B63">
        <v>0</v>
      </c>
      <c r="C63">
        <v>1</v>
      </c>
      <c r="D63">
        <v>1</v>
      </c>
      <c r="E63">
        <v>0</v>
      </c>
      <c r="F63">
        <v>1</v>
      </c>
    </row>
    <row r="64" spans="1:6" x14ac:dyDescent="0.25">
      <c r="A64" t="s">
        <v>79</v>
      </c>
      <c r="B64">
        <v>0</v>
      </c>
      <c r="C64">
        <v>1</v>
      </c>
      <c r="D64">
        <v>1</v>
      </c>
      <c r="E64">
        <v>0</v>
      </c>
      <c r="F64">
        <v>1</v>
      </c>
    </row>
    <row r="65" spans="1:6" x14ac:dyDescent="0.25">
      <c r="A65" t="s">
        <v>80</v>
      </c>
      <c r="B65">
        <v>1</v>
      </c>
      <c r="C65">
        <v>1</v>
      </c>
      <c r="D65">
        <v>1</v>
      </c>
      <c r="E65">
        <v>100</v>
      </c>
      <c r="F65">
        <v>0</v>
      </c>
    </row>
    <row r="66" spans="1:6" x14ac:dyDescent="0.25">
      <c r="A66" t="s">
        <v>81</v>
      </c>
      <c r="B66">
        <v>0</v>
      </c>
      <c r="C66">
        <v>1</v>
      </c>
      <c r="D66">
        <v>1</v>
      </c>
      <c r="E66">
        <v>0</v>
      </c>
      <c r="F66">
        <v>1</v>
      </c>
    </row>
    <row r="67" spans="1:6" x14ac:dyDescent="0.25">
      <c r="A67" t="s">
        <v>82</v>
      </c>
      <c r="B67">
        <v>0</v>
      </c>
      <c r="C67">
        <v>1</v>
      </c>
      <c r="D67">
        <v>1</v>
      </c>
      <c r="E67">
        <v>0</v>
      </c>
      <c r="F67">
        <v>1</v>
      </c>
    </row>
    <row r="68" spans="1:6" x14ac:dyDescent="0.25">
      <c r="A68" t="s">
        <v>83</v>
      </c>
      <c r="B68">
        <v>0</v>
      </c>
      <c r="C68">
        <v>1</v>
      </c>
      <c r="D68">
        <v>1</v>
      </c>
      <c r="E68">
        <v>0</v>
      </c>
      <c r="F68">
        <v>1</v>
      </c>
    </row>
    <row r="69" spans="1:6" x14ac:dyDescent="0.25">
      <c r="A69" t="s">
        <v>84</v>
      </c>
      <c r="B69">
        <v>0</v>
      </c>
      <c r="C69">
        <v>1</v>
      </c>
      <c r="D69">
        <v>1</v>
      </c>
      <c r="E69">
        <v>0</v>
      </c>
      <c r="F69">
        <v>1</v>
      </c>
    </row>
    <row r="70" spans="1:6" x14ac:dyDescent="0.25">
      <c r="A70" t="s">
        <v>85</v>
      </c>
      <c r="B70">
        <v>1</v>
      </c>
      <c r="C70">
        <v>1</v>
      </c>
      <c r="D70">
        <v>1</v>
      </c>
      <c r="E70">
        <v>100</v>
      </c>
      <c r="F70">
        <v>0</v>
      </c>
    </row>
    <row r="71" spans="1:6" x14ac:dyDescent="0.25">
      <c r="A71" t="s">
        <v>86</v>
      </c>
      <c r="B71">
        <v>0</v>
      </c>
      <c r="C71">
        <v>1</v>
      </c>
      <c r="D71">
        <v>1</v>
      </c>
      <c r="E71">
        <v>0</v>
      </c>
      <c r="F71">
        <v>1</v>
      </c>
    </row>
    <row r="72" spans="1:6" x14ac:dyDescent="0.25">
      <c r="A72" t="s">
        <v>87</v>
      </c>
      <c r="B72">
        <v>1</v>
      </c>
      <c r="C72">
        <v>1</v>
      </c>
      <c r="D72">
        <v>1</v>
      </c>
      <c r="E72">
        <v>100</v>
      </c>
      <c r="F72">
        <v>0</v>
      </c>
    </row>
    <row r="73" spans="1:6" x14ac:dyDescent="0.25">
      <c r="A73" t="s">
        <v>88</v>
      </c>
      <c r="B73">
        <v>0</v>
      </c>
      <c r="C73">
        <v>1</v>
      </c>
      <c r="D73">
        <v>1</v>
      </c>
      <c r="E73">
        <v>0</v>
      </c>
      <c r="F73">
        <v>1</v>
      </c>
    </row>
    <row r="74" spans="1:6" x14ac:dyDescent="0.25">
      <c r="A74" t="s">
        <v>89</v>
      </c>
      <c r="B74">
        <v>1</v>
      </c>
      <c r="C74">
        <v>1</v>
      </c>
      <c r="D74">
        <v>1</v>
      </c>
      <c r="E74">
        <v>100</v>
      </c>
      <c r="F74">
        <v>0</v>
      </c>
    </row>
    <row r="75" spans="1:6" x14ac:dyDescent="0.25">
      <c r="A75" t="s">
        <v>90</v>
      </c>
      <c r="B75">
        <v>1</v>
      </c>
      <c r="C75">
        <v>1</v>
      </c>
      <c r="D75">
        <v>1</v>
      </c>
      <c r="E75">
        <v>100</v>
      </c>
      <c r="F75">
        <v>0</v>
      </c>
    </row>
    <row r="76" spans="1:6" x14ac:dyDescent="0.25">
      <c r="A76" t="s">
        <v>91</v>
      </c>
      <c r="B76">
        <v>1</v>
      </c>
      <c r="C76">
        <v>1</v>
      </c>
      <c r="D76">
        <v>1</v>
      </c>
      <c r="E76">
        <v>100</v>
      </c>
      <c r="F76">
        <v>0</v>
      </c>
    </row>
    <row r="77" spans="1:6" x14ac:dyDescent="0.25">
      <c r="A77" t="s">
        <v>92</v>
      </c>
      <c r="B77">
        <v>0</v>
      </c>
      <c r="C77">
        <v>1</v>
      </c>
      <c r="D77">
        <v>1</v>
      </c>
      <c r="E77">
        <v>0</v>
      </c>
      <c r="F77">
        <v>1</v>
      </c>
    </row>
    <row r="78" spans="1:6" x14ac:dyDescent="0.25">
      <c r="A78" t="s">
        <v>93</v>
      </c>
      <c r="B78">
        <v>0</v>
      </c>
      <c r="C78">
        <v>1</v>
      </c>
      <c r="D78">
        <v>1</v>
      </c>
      <c r="E78">
        <v>0</v>
      </c>
      <c r="F78">
        <v>1</v>
      </c>
    </row>
    <row r="79" spans="1:6" x14ac:dyDescent="0.25">
      <c r="A79" t="s">
        <v>94</v>
      </c>
      <c r="B79">
        <v>0</v>
      </c>
      <c r="C79">
        <v>1</v>
      </c>
      <c r="D79">
        <v>1</v>
      </c>
      <c r="E79">
        <v>0</v>
      </c>
      <c r="F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Summary Stats</vt:lpstr>
      <vt:lpstr>Histogram</vt:lpstr>
      <vt:lpstr>Monthly Blown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Vova deduskin lap</cp:lastModifiedBy>
  <dcterms:created xsi:type="dcterms:W3CDTF">2025-11-09T15:13:10Z</dcterms:created>
  <dcterms:modified xsi:type="dcterms:W3CDTF">2025-11-09T15:56:06Z</dcterms:modified>
</cp:coreProperties>
</file>